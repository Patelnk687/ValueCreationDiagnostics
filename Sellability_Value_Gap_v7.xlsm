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680" windowWidth="28820" windowHeight="19660" tabRatio="500" firstSheet="0" activeTab="3" autoFilterDateGrouping="1"/>
  </bookViews>
  <sheets>
    <sheet xmlns:r="http://schemas.openxmlformats.org/officeDocument/2006/relationships" name="Intake" sheetId="1" state="visible" r:id="rId1"/>
    <sheet xmlns:r="http://schemas.openxmlformats.org/officeDocument/2006/relationships" name="Questions" sheetId="2" state="visible" r:id="rId2"/>
    <sheet xmlns:r="http://schemas.openxmlformats.org/officeDocument/2006/relationships" name="Value Gap" sheetId="3" state="visible" r:id="rId3"/>
    <sheet xmlns:r="http://schemas.openxmlformats.org/officeDocument/2006/relationships" name="Value Acceleration" sheetId="4" state="visible" r:id="rId4"/>
    <sheet xmlns:r="http://schemas.openxmlformats.org/officeDocument/2006/relationships" name="Scorecard" sheetId="5" state="visible" r:id="rId5"/>
    <sheet xmlns:r="http://schemas.openxmlformats.org/officeDocument/2006/relationships" name="Industry Data" sheetId="6" state="visible" r:id="rId6"/>
    <sheet xmlns:r="http://schemas.openxmlformats.org/officeDocument/2006/relationships" name="Industry Risks" sheetId="7" state="visible" r:id="rId7"/>
    <sheet xmlns:r="http://schemas.openxmlformats.org/officeDocument/2006/relationships" name="Engine" sheetId="8" state="visible" r:id="rId8"/>
    <sheet xmlns:r="http://schemas.openxmlformats.org/officeDocument/2006/relationships" name="Size Curve" sheetId="9" state="visible" r:id="rId9"/>
    <sheet xmlns:r="http://schemas.openxmlformats.org/officeDocument/2006/relationships" name="Assumptions" sheetId="10" state="visible" r:id="rId10"/>
    <sheet xmlns:r="http://schemas.openxmlformats.org/officeDocument/2006/relationships" name="Rules" sheetId="11" state="visible" r:id="rId11"/>
    <sheet xmlns:r="http://schemas.openxmlformats.org/officeDocument/2006/relationships" name="Value Creation" sheetId="12" state="visible" r:id="rId12"/>
    <sheet xmlns:r="http://schemas.openxmlformats.org/officeDocument/2006/relationships" name="Value Acceleration OLD" sheetId="13" state="visible" r:id="rId13"/>
  </sheets>
  <definedNames>
    <definedName name="DESIRED_PRICE">Intake!$H$17</definedName>
    <definedName name="DIAGNOSTIC_DATE">Intake!$H$23</definedName>
    <definedName name="EARNINGS_USED">Intake!$D$20</definedName>
    <definedName name="MONTHS_TO_SELL">Intake!$H$18</definedName>
    <definedName name="OPT_AI1">Questions!$AB$128:$AB$133</definedName>
    <definedName name="OPT_AI2">Questions!$AB$134:$AB$139</definedName>
    <definedName name="OPT_AI3">Questions!$AB$140:$AB$145</definedName>
    <definedName name="OPT_INT">Questions!$AB$87:$AB$90</definedName>
    <definedName name="OPT_N11">Questions!$AB$122:$AB$127</definedName>
    <definedName name="OPT_N2">Questions!$AB$10:$AB$14</definedName>
    <definedName name="OPT_N3">Questions!$AB$34:$AB$38</definedName>
    <definedName name="OPT_N5">Questions!$AB$111:$AB$116</definedName>
    <definedName name="OPT_N6">Questions!$AB$91:$AB$95</definedName>
    <definedName name="OPT_N8">Questions!$AB$55:$AB$61</definedName>
    <definedName name="OPT_N9">Questions!$AB$117:$AB$121</definedName>
    <definedName name="OPT_POS">Questions!$AB$167:$AB$172</definedName>
    <definedName name="OPT_PRICE">Questions!$AB$173:$AB$178</definedName>
    <definedName name="OPT_Q5">Questions!$AB$6:$AB$9</definedName>
    <definedName name="OPT_R23">Questions!$AB$39:$AB$41</definedName>
    <definedName name="OPT_R6">Questions!$AB$62:$AB$65</definedName>
    <definedName name="OPT_R9">Questions!$AB$15:$AB$21</definedName>
    <definedName name="OPT_SV110">Questions!$AB$107:$AB$110</definedName>
    <definedName name="OPT_SV116">Questions!$AB$96:$AB$101</definedName>
    <definedName name="OPT_SV147">Questions!$AB$1:$AB$5</definedName>
    <definedName name="OPT_SV35">Questions!$AB$42:$AB$48</definedName>
    <definedName name="OPT_SV4">Questions!$AB$27:$AB$33</definedName>
    <definedName name="OPT_SV44">Questions!$AB$49:$AB$53</definedName>
    <definedName name="OPT_SV6">Questions!$AB$156:$AB$160</definedName>
    <definedName name="OPT_SV7">Questions!$AB$66:$AB$72</definedName>
    <definedName name="OPT_SV97">Questions!$AB$102:$AB$106</definedName>
    <definedName name="REGION">Intake!$D$11</definedName>
    <definedName name="REVENUE">Intake!$H$5</definedName>
    <definedName name="VALUED_ON">Intake!$D$19</definedName>
    <definedName name="_xlnm.Print_Area" localSheetId="0">'Intake'!$A$1:$I$23</definedName>
    <definedName name="_xlnm.Print_Area" localSheetId="3">'Value Acceleration'!$A$1:$U$35</definedName>
    <definedName name="_xlnm.Print_Area" localSheetId="4">'Scorecard'!$A$1:$G$33</definedName>
    <definedName name="_xlnm.Print_Area" localSheetId="11">'Value Creation'!$A$1:$J$28</definedName>
  </definedNames>
  <calcPr calcId="191029" fullCalcOnLoad="1"/>
</workbook>
</file>

<file path=xl/styles.xml><?xml version="1.0" encoding="utf-8"?>
<styleSheet xmlns="http://schemas.openxmlformats.org/spreadsheetml/2006/main">
  <numFmts count="7">
    <numFmt numFmtId="164" formatCode="0.00&quot;x&quot;"/>
    <numFmt numFmtId="165" formatCode="0.0%"/>
    <numFmt numFmtId="166" formatCode="0.0&quot;x today&quot;"/>
    <numFmt numFmtId="167" formatCode="0.0\x"/>
    <numFmt numFmtId="168" formatCode="0.000"/>
    <numFmt numFmtId="169" formatCode="0.00\x"/>
    <numFmt numFmtId="170" formatCode="0.0"/>
  </numFmts>
  <fonts count="44">
    <font>
      <name val="Aptos Narrow"/>
      <charset val="1"/>
      <color rgb="FF000000"/>
      <sz val="10"/>
    </font>
    <font>
      <name val="Aptos Narrow"/>
      <charset val="1"/>
      <family val="2"/>
      <color theme="1"/>
      <sz val="12"/>
    </font>
    <font>
      <name val="Aptos Narrow"/>
      <charset val="1"/>
      <family val="2"/>
      <color rgb="FF000000"/>
      <sz val="10"/>
    </font>
    <font>
      <name val="Lexend"/>
      <charset val="1"/>
      <b val="1"/>
      <color rgb="FFFFC000"/>
      <sz val="12"/>
    </font>
    <font>
      <name val="Lexend"/>
      <charset val="1"/>
      <b val="1"/>
      <color rgb="FFFFC000"/>
      <sz val="17"/>
    </font>
    <font>
      <name val="Aptos Narrow"/>
      <charset val="1"/>
      <family val="2"/>
      <b val="1"/>
      <color rgb="FFFFC000"/>
      <sz val="10"/>
    </font>
    <font>
      <name val="Aptos Narrow"/>
      <charset val="1"/>
      <family val="2"/>
      <b val="1"/>
      <color theme="3"/>
      <sz val="15"/>
    </font>
    <font>
      <name val="Aptos Narrow"/>
      <b val="1"/>
      <color rgb="FF000000"/>
      <sz val="10"/>
    </font>
    <font>
      <name val="Aptos Narrow"/>
      <color rgb="FF000000"/>
      <sz val="10"/>
    </font>
    <font>
      <name val="Aptos Narrow"/>
      <b val="1"/>
      <color rgb="FF000000"/>
      <sz val="12"/>
    </font>
    <font>
      <name val="Lexend"/>
      <b val="1"/>
      <color rgb="FFFFC000"/>
      <sz val="17"/>
    </font>
    <font>
      <name val="Aptos Narrow"/>
      <color rgb="FF595959"/>
      <sz val="10"/>
    </font>
    <font>
      <name val="Aptos Narrow"/>
      <b val="1"/>
      <color rgb="FF595959"/>
      <sz val="9"/>
    </font>
    <font>
      <name val="Lexend"/>
      <b val="1"/>
      <color rgb="FFFFC000"/>
      <sz val="12"/>
    </font>
    <font>
      <name val="Aptos Narrow"/>
      <b val="1"/>
      <color rgb="FFFFC000"/>
      <sz val="10"/>
    </font>
    <font>
      <name val="Lexend"/>
      <b val="1"/>
      <color theme="1"/>
      <sz val="12"/>
    </font>
    <font>
      <name val="Aptos Narrow"/>
      <b val="1"/>
      <color rgb="FFFFC000"/>
      <sz val="10"/>
    </font>
    <font>
      <name val="Aptos Narrow"/>
      <b val="1"/>
      <color rgb="FF000000"/>
      <sz val="11"/>
    </font>
    <font>
      <name val="Aptos Narrow"/>
      <color rgb="FF595959"/>
      <sz val="9"/>
    </font>
    <font>
      <name val="Aptos Narrow"/>
      <charset val="1"/>
      <family val="2"/>
      <color rgb="FF000000"/>
      <sz val="17"/>
    </font>
    <font>
      <name val="Lexend"/>
      <b val="1"/>
      <color rgb="FFFFC000"/>
      <sz val="12"/>
    </font>
    <font>
      <name val="Aptos Narrow"/>
      <b val="1"/>
      <color rgb="FFFFC000"/>
      <sz val="10"/>
    </font>
    <font>
      <name val="Lexend"/>
      <b val="1"/>
      <color rgb="FF000000"/>
      <sz val="22"/>
    </font>
    <font>
      <name val="Aptos Narrow"/>
      <b val="1"/>
      <color rgb="FFFFC000"/>
      <sz val="9"/>
    </font>
    <font>
      <name val="Lexend"/>
      <b val="1"/>
      <color rgb="FFFFFFFF"/>
      <sz val="22"/>
    </font>
    <font>
      <name val="Lexend"/>
      <b val="1"/>
      <color rgb="FFFFC000"/>
      <sz val="12"/>
    </font>
    <font>
      <name val="Aptos Narrow"/>
      <b val="1"/>
      <color rgb="FF595959"/>
      <sz val="10"/>
    </font>
    <font>
      <name val="Aptos Narrow"/>
      <color rgb="FF000000"/>
      <sz val="11"/>
    </font>
    <font>
      <name val="Aptos Narrow"/>
      <b val="1"/>
      <color rgb="FF000000"/>
      <sz val="13"/>
    </font>
    <font>
      <name val="Lexend"/>
      <b val="1"/>
      <color rgb="FFFFC000"/>
      <sz val="20"/>
    </font>
    <font>
      <name val="Aptos Narrow"/>
      <b val="1"/>
      <color rgb="FFFFC000"/>
      <sz val="20"/>
    </font>
    <font>
      <name val="Lexend"/>
      <b val="1"/>
      <color rgb="FFFFC000"/>
      <sz val="12"/>
    </font>
    <font>
      <name val="Aptos Narrow"/>
      <color rgb="FF595959"/>
      <sz val="9"/>
    </font>
    <font>
      <name val="Aptos Narrow"/>
      <sz val="10"/>
    </font>
    <font>
      <name val="Aptos Narrow"/>
      <b val="1"/>
      <sz val="10"/>
    </font>
    <font>
      <name val="Lexend"/>
      <b val="1"/>
      <color rgb="FFFFC000"/>
      <sz val="15"/>
    </font>
    <font>
      <name val="Aptos Narrow"/>
      <color rgb="FF595959"/>
      <sz val="9"/>
    </font>
    <font>
      <name val="Lexend"/>
      <b val="1"/>
      <color rgb="FFFFC000"/>
      <sz val="20"/>
    </font>
    <font>
      <name val="Aptos Narrow"/>
      <b val="1"/>
      <color rgb="FF000000"/>
      <sz val="10"/>
    </font>
    <font>
      <name val="Lexend"/>
      <b val="1"/>
      <color rgb="FFFFC000"/>
      <sz val="12"/>
    </font>
    <font>
      <name val="Lexend"/>
      <b val="1"/>
      <color rgb="FFFFC000"/>
      <sz val="17"/>
    </font>
    <font>
      <name val="Aptos Narrow"/>
      <b val="1"/>
      <color rgb="FF000000"/>
      <sz val="14"/>
    </font>
    <font>
      <name val="Aptos Narrow"/>
      <b val="1"/>
      <color rgb="FF000000"/>
      <sz val="11"/>
    </font>
    <font>
      <name val="Aptos Narrow"/>
      <color rgb="FF000000"/>
      <sz val="12"/>
    </font>
  </fonts>
  <fills count="22">
    <fill>
      <patternFill/>
    </fill>
    <fill>
      <patternFill patternType="gray125"/>
    </fill>
    <fill>
      <patternFill patternType="solid">
        <fgColor theme="1"/>
        <bgColor rgb="FF0E2841"/>
      </patternFill>
    </fill>
    <fill>
      <patternFill patternType="solid">
        <fgColor rgb="FFFFC000"/>
      </patternFill>
    </fill>
    <fill>
      <patternFill patternType="solid">
        <fgColor rgb="FFFFFFFF"/>
      </patternFill>
    </fill>
    <fill>
      <patternFill patternType="solid">
        <fgColor rgb="FFF2F2F2"/>
      </patternFill>
    </fill>
    <fill>
      <patternFill patternType="solid">
        <fgColor rgb="FFFFC000"/>
      </patternFill>
    </fill>
    <fill>
      <patternFill patternType="solid">
        <fgColor rgb="FF000000"/>
      </patternFill>
    </fill>
    <fill>
      <patternFill patternType="solid">
        <fgColor theme="1"/>
        <bgColor indexed="64"/>
      </patternFill>
    </fill>
    <fill>
      <patternFill patternType="solid">
        <fgColor rgb="FFF7F7F7"/>
      </patternFill>
    </fill>
    <fill>
      <patternFill patternType="solid">
        <fgColor rgb="FFFFC000"/>
      </patternFill>
    </fill>
    <fill>
      <patternFill patternType="solid">
        <fgColor rgb="FFFFC000"/>
      </patternFill>
    </fill>
    <fill>
      <patternFill patternType="solid">
        <fgColor rgb="FF262626"/>
      </patternFill>
    </fill>
    <fill>
      <patternFill patternType="solid">
        <fgColor rgb="FFFFC000"/>
      </patternFill>
    </fill>
    <fill>
      <patternFill patternType="solid"/>
    </fill>
    <fill>
      <patternFill patternType="solid">
        <fgColor rgb="FFF2F2F2"/>
      </patternFill>
    </fill>
    <fill>
      <patternFill patternType="solid">
        <fgColor rgb="FFFFC000"/>
      </patternFill>
    </fill>
    <fill>
      <patternFill patternType="solid">
        <fgColor rgb="FFFFC000"/>
      </patternFill>
    </fill>
    <fill>
      <patternFill patternType="solid">
        <fgColor rgb="FFF2F2F2"/>
      </patternFill>
    </fill>
    <fill>
      <patternFill patternType="solid">
        <fgColor rgb="FFFFFFFF"/>
      </patternFill>
    </fill>
    <fill>
      <patternFill patternType="solid">
        <fgColor rgb="FFFFC000"/>
      </patternFill>
    </fill>
    <fill>
      <patternFill patternType="solid">
        <fgColor rgb="FFFFC000"/>
      </patternFill>
    </fill>
  </fills>
  <borders count="22">
    <border>
      <left/>
      <right/>
      <top/>
      <bottom/>
      <diagonal/>
    </border>
    <border>
      <left/>
      <right/>
      <top/>
      <bottom style="thick">
        <color theme="4"/>
      </bottom>
      <diagonal/>
    </border>
    <border>
      <left style="thin">
        <color auto="1"/>
      </left>
      <right/>
      <top/>
      <bottom/>
      <diagonal/>
    </border>
    <border>
      <left style="thin">
        <color rgb="FFFFC000"/>
      </left>
      <right style="thin">
        <color rgb="FFFFC000"/>
      </right>
      <top style="thin">
        <color rgb="FFFFC000"/>
      </top>
      <bottom style="thin">
        <color rgb="FFFFC000"/>
      </bottom>
      <diagonal/>
    </border>
    <border>
      <left style="thin">
        <color rgb="FFFFC000"/>
      </left>
      <right style="thin">
        <color rgb="FFFFC000"/>
      </right>
      <top style="thin">
        <color rgb="FFFFC000"/>
      </top>
      <bottom style="thin">
        <color rgb="FFFFC000"/>
      </bottom>
      <diagonal/>
    </border>
    <border>
      <left style="thin">
        <color rgb="FFFFC000"/>
      </left>
      <right style="thin">
        <color rgb="FFFFC000"/>
      </right>
      <top style="thin">
        <color rgb="FFFFC000"/>
      </top>
      <bottom style="thin">
        <color rgb="FFFFC000"/>
      </bottom>
      <diagonal/>
    </border>
    <border>
      <left style="thin">
        <color rgb="FFFFC000"/>
      </left>
      <right style="thin">
        <color rgb="FFFFC000"/>
      </right>
      <top style="thin">
        <color rgb="FFFFC000"/>
      </top>
      <bottom style="thin">
        <color rgb="FFFFC000"/>
      </bottom>
      <diagonal/>
    </border>
    <border>
      <left/>
      <right style="thin">
        <color rgb="FFFFC000"/>
      </right>
      <top style="thin">
        <color rgb="FFFFC000"/>
      </top>
      <bottom style="thin">
        <color rgb="FFFFC000"/>
      </bottom>
      <diagonal/>
    </border>
    <border>
      <left/>
      <right/>
      <top style="thin">
        <color rgb="FFFFC000"/>
      </top>
      <bottom style="thin">
        <color rgb="FFFFC000"/>
      </bottom>
      <diagonal/>
    </border>
    <border>
      <left style="thin">
        <color rgb="FFFFC000"/>
      </left>
      <right style="thin">
        <color rgb="FFFFC000"/>
      </right>
      <top style="thin">
        <color rgb="FFFFC000"/>
      </top>
      <bottom style="thin">
        <color rgb="FFFFC000"/>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right/>
      <top/>
      <bottom/>
      <diagonal/>
    </border>
    <border>
      <left style="thin">
        <color rgb="FFFFC000"/>
      </left>
      <right style="thin">
        <color rgb="FFFFC000"/>
      </right>
      <top style="thin">
        <color rgb="FFFFC000"/>
      </top>
      <bottom style="thin">
        <color rgb="FFFFC000"/>
      </bottom>
      <diagonal/>
    </border>
    <border>
      <left/>
      <right/>
      <top style="thin">
        <color rgb="FFFFC000"/>
      </top>
      <bottom/>
      <diagonal/>
    </border>
    <border>
      <left/>
      <right style="thin">
        <color rgb="FFFFC000"/>
      </right>
      <top style="thin">
        <color rgb="FFFFC000"/>
      </top>
      <bottom/>
      <diagonal/>
    </border>
    <border>
      <left/>
      <right/>
      <top style="thin">
        <color rgb="FFBFBFBF"/>
      </top>
      <bottom/>
      <diagonal/>
    </border>
    <border>
      <left/>
      <right style="thin">
        <color rgb="FFBFBFBF"/>
      </right>
      <top style="thin">
        <color rgb="FFBFBFBF"/>
      </top>
      <bottom/>
      <diagonal/>
    </border>
  </borders>
  <cellStyleXfs count="3">
    <xf numFmtId="0" fontId="0" fillId="0" borderId="16"/>
    <xf numFmtId="0" fontId="1" fillId="0" borderId="16"/>
    <xf numFmtId="0" fontId="6" fillId="0" borderId="1"/>
  </cellStyleXfs>
  <cellXfs count="301">
    <xf numFmtId="0" fontId="0" fillId="0" borderId="0" pivotButton="0" quotePrefix="0" xfId="0"/>
    <xf numFmtId="0" fontId="4" fillId="2" borderId="2" applyAlignment="1" pivotButton="0" quotePrefix="0" xfId="0">
      <alignment horizontal="center" vertical="center" wrapText="1"/>
    </xf>
    <xf numFmtId="0" fontId="3" fillId="2" borderId="2" applyAlignment="1" pivotButton="0" quotePrefix="0" xfId="0">
      <alignment horizontal="center" vertical="center" wrapText="1"/>
    </xf>
    <xf numFmtId="0" fontId="5" fillId="2" borderId="0" applyAlignment="1" pivotButton="0" quotePrefix="0" xfId="0">
      <alignment wrapText="1"/>
    </xf>
    <xf numFmtId="0" fontId="2" fillId="0" borderId="0" applyAlignment="1" pivotButton="0" quotePrefix="0" xfId="0">
      <alignment wrapText="1"/>
    </xf>
    <xf numFmtId="9" fontId="0" fillId="0" borderId="0" pivotButton="0" quotePrefix="0" xfId="0"/>
    <xf numFmtId="2" fontId="0" fillId="0" borderId="0" pivotButton="0" quotePrefix="0" xfId="0"/>
    <xf numFmtId="3" fontId="2" fillId="0" borderId="0" applyAlignment="1" pivotButton="0" quotePrefix="0" xfId="0">
      <alignment wrapText="1"/>
    </xf>
    <xf numFmtId="164" fontId="0" fillId="0" borderId="0" pivotButton="0" quotePrefix="0" xfId="0"/>
    <xf numFmtId="3" fontId="8" fillId="3" borderId="3" applyAlignment="1" pivotButton="0" quotePrefix="0" xfId="0">
      <alignment horizontal="right" vertical="center" indent="1"/>
    </xf>
    <xf numFmtId="165" fontId="8" fillId="3" borderId="3" applyAlignment="1" pivotButton="0" quotePrefix="0" xfId="0">
      <alignment horizontal="right" vertical="center" indent="1"/>
    </xf>
    <xf numFmtId="10" fontId="8" fillId="3" borderId="3" applyAlignment="1" pivotButton="0" quotePrefix="0" xfId="0">
      <alignment horizontal="right" vertical="center" indent="1"/>
    </xf>
    <xf numFmtId="164" fontId="8" fillId="3" borderId="3" applyAlignment="1" pivotButton="0" quotePrefix="0" xfId="0">
      <alignment horizontal="right" vertical="center" indent="1"/>
    </xf>
    <xf numFmtId="3" fontId="9" fillId="3" borderId="3" applyAlignment="1" pivotButton="0" quotePrefix="0" xfId="0">
      <alignment horizontal="right" vertical="center" indent="1"/>
    </xf>
    <xf numFmtId="0" fontId="8" fillId="4" borderId="3" applyAlignment="1" pivotButton="0" quotePrefix="0" xfId="0">
      <alignment horizontal="left" vertical="center" indent="1"/>
    </xf>
    <xf numFmtId="165" fontId="8" fillId="4" borderId="3" applyAlignment="1" pivotButton="0" quotePrefix="0" xfId="0">
      <alignment horizontal="right" vertical="center" indent="1"/>
    </xf>
    <xf numFmtId="3" fontId="8" fillId="4" borderId="3" applyAlignment="1" pivotButton="0" quotePrefix="0" xfId="0">
      <alignment horizontal="right" vertical="center" indent="1"/>
    </xf>
    <xf numFmtId="0" fontId="8" fillId="5" borderId="3" applyAlignment="1" pivotButton="0" quotePrefix="0" xfId="0">
      <alignment horizontal="left" vertical="center" indent="1"/>
    </xf>
    <xf numFmtId="3" fontId="8" fillId="5" borderId="3" applyAlignment="1" pivotButton="0" quotePrefix="0" xfId="0">
      <alignment horizontal="right" vertical="center" indent="1"/>
    </xf>
    <xf numFmtId="165" fontId="8" fillId="5" borderId="3" applyAlignment="1" pivotButton="0" quotePrefix="0" xfId="0">
      <alignment horizontal="right" vertical="center" indent="1"/>
    </xf>
    <xf numFmtId="10" fontId="8" fillId="4" borderId="3" applyAlignment="1" pivotButton="0" quotePrefix="0" xfId="0">
      <alignment horizontal="right" vertical="center" indent="1"/>
    </xf>
    <xf numFmtId="164" fontId="8" fillId="4" borderId="3" applyAlignment="1" pivotButton="0" quotePrefix="0" xfId="0">
      <alignment horizontal="right" vertical="center" indent="1"/>
    </xf>
    <xf numFmtId="0" fontId="7" fillId="5" borderId="3" applyAlignment="1" pivotButton="0" quotePrefix="0" xfId="0">
      <alignment horizontal="left" vertical="center" indent="1"/>
    </xf>
    <xf numFmtId="3" fontId="7" fillId="5" borderId="3" applyAlignment="1" pivotButton="0" quotePrefix="0" xfId="0">
      <alignment horizontal="right" vertical="center" indent="1"/>
    </xf>
    <xf numFmtId="0" fontId="9" fillId="4" borderId="3" applyAlignment="1" pivotButton="0" quotePrefix="0" xfId="0">
      <alignment horizontal="left" vertical="center" indent="1"/>
    </xf>
    <xf numFmtId="3" fontId="7" fillId="4" borderId="3" applyAlignment="1" pivotButton="0" quotePrefix="0" xfId="0">
      <alignment horizontal="right" vertical="center" indent="1"/>
    </xf>
    <xf numFmtId="0" fontId="7" fillId="4" borderId="3" applyAlignment="1" pivotButton="0" quotePrefix="0" xfId="0">
      <alignment horizontal="left" vertical="center" indent="1"/>
    </xf>
    <xf numFmtId="0" fontId="7" fillId="4" borderId="3" applyAlignment="1" pivotButton="0" quotePrefix="0" xfId="0">
      <alignment horizontal="right" vertical="center" indent="1"/>
    </xf>
    <xf numFmtId="3" fontId="9" fillId="4" borderId="3" applyAlignment="1" pivotButton="0" quotePrefix="0" xfId="0">
      <alignment horizontal="right" vertical="center" indent="1"/>
    </xf>
    <xf numFmtId="164" fontId="7" fillId="5" borderId="3" applyAlignment="1" pivotButton="0" quotePrefix="0" xfId="0">
      <alignment horizontal="center" vertical="center"/>
    </xf>
    <xf numFmtId="10" fontId="0" fillId="0" borderId="0" pivotButton="0" quotePrefix="0" xfId="0"/>
    <xf numFmtId="0" fontId="0" fillId="0" borderId="0" applyAlignment="1" pivotButton="0" quotePrefix="0" xfId="0">
      <alignment wrapText="1"/>
    </xf>
    <xf numFmtId="0" fontId="2" fillId="0" borderId="0" applyAlignment="1" pivotButton="0" quotePrefix="0" xfId="0">
      <alignment horizontal="left" vertical="top" wrapText="1"/>
    </xf>
    <xf numFmtId="0" fontId="7" fillId="6" borderId="4" applyAlignment="1" pivotButton="0" quotePrefix="0" xfId="0">
      <alignment horizontal="center" vertical="center" wrapText="1"/>
    </xf>
    <xf numFmtId="0" fontId="12" fillId="0" borderId="0" applyAlignment="1" pivotButton="0" quotePrefix="0" xfId="0">
      <alignment horizontal="right"/>
    </xf>
    <xf numFmtId="0" fontId="12" fillId="0" borderId="0" applyAlignment="1" pivotButton="0" quotePrefix="0" xfId="0">
      <alignment horizontal="center"/>
    </xf>
    <xf numFmtId="0" fontId="7" fillId="0" borderId="0" applyAlignment="1" pivotButton="0" quotePrefix="0" xfId="0">
      <alignment horizontal="left" vertical="center" indent="1"/>
    </xf>
    <xf numFmtId="166" fontId="8" fillId="4" borderId="3" applyAlignment="1" pivotButton="0" quotePrefix="0" xfId="0">
      <alignment horizontal="right" vertical="center" indent="1"/>
    </xf>
    <xf numFmtId="0" fontId="16" fillId="7" borderId="5" applyAlignment="1" pivotButton="0" quotePrefix="0" xfId="0">
      <alignment horizontal="center" vertical="center" wrapText="1"/>
    </xf>
    <xf numFmtId="0" fontId="8" fillId="4" borderId="6" applyAlignment="1" pivotButton="0" quotePrefix="0" xfId="0">
      <alignment horizontal="right" vertical="center" indent="1"/>
    </xf>
    <xf numFmtId="3" fontId="8" fillId="4" borderId="6" applyAlignment="1" pivotButton="0" quotePrefix="0" xfId="0">
      <alignment horizontal="right" vertical="center" indent="1"/>
    </xf>
    <xf numFmtId="0" fontId="0" fillId="4" borderId="9" pivotButton="0" quotePrefix="0" xfId="0"/>
    <xf numFmtId="0" fontId="0" fillId="9" borderId="9" pivotButton="0" quotePrefix="0" xfId="0"/>
    <xf numFmtId="1" fontId="28" fillId="4" borderId="9" applyAlignment="1" pivotButton="0" quotePrefix="0" xfId="0">
      <alignment horizontal="right" vertical="center" indent="1"/>
    </xf>
    <xf numFmtId="2" fontId="28" fillId="9" borderId="9" applyAlignment="1" pivotButton="0" quotePrefix="0" xfId="0">
      <alignment horizontal="right" vertical="center" indent="1"/>
    </xf>
    <xf numFmtId="2" fontId="28" fillId="4" borderId="9" applyAlignment="1" pivotButton="0" quotePrefix="0" xfId="0">
      <alignment horizontal="right" vertical="center" indent="1"/>
    </xf>
    <xf numFmtId="164" fontId="28" fillId="9" borderId="9" applyAlignment="1" pivotButton="0" quotePrefix="0" xfId="0">
      <alignment horizontal="right" vertical="center" indent="1"/>
    </xf>
    <xf numFmtId="164" fontId="28" fillId="4" borderId="9" applyAlignment="1" pivotButton="0" quotePrefix="0" xfId="0">
      <alignment horizontal="right" vertical="center" indent="1"/>
    </xf>
    <xf numFmtId="0" fontId="2" fillId="13" borderId="0" applyAlignment="1" pivotButton="0" quotePrefix="0" xfId="0">
      <alignment wrapText="1"/>
    </xf>
    <xf numFmtId="0" fontId="8" fillId="13" borderId="6" applyAlignment="1" pivotButton="0" quotePrefix="0" xfId="0">
      <alignment horizontal="right" vertical="center" indent="1"/>
    </xf>
    <xf numFmtId="165" fontId="7" fillId="13" borderId="3" applyAlignment="1" pivotButton="0" quotePrefix="0" xfId="0">
      <alignment horizontal="center" vertical="center"/>
    </xf>
    <xf numFmtId="164" fontId="0" fillId="13" borderId="0" pivotButton="0" quotePrefix="0" xfId="0"/>
    <xf numFmtId="0" fontId="12" fillId="0" borderId="0" pivotButton="0" quotePrefix="0" xfId="0"/>
    <xf numFmtId="0" fontId="29" fillId="7" borderId="10" applyAlignment="1" pivotButton="0" quotePrefix="0" xfId="0">
      <alignment horizontal="center" vertical="center" wrapText="1"/>
    </xf>
    <xf numFmtId="0" fontId="25" fillId="7" borderId="10" applyAlignment="1" pivotButton="0" quotePrefix="0" xfId="0">
      <alignment horizontal="left" vertical="center" wrapText="1"/>
    </xf>
    <xf numFmtId="0" fontId="8" fillId="4" borderId="10" applyAlignment="1" pivotButton="0" quotePrefix="0" xfId="0">
      <alignment horizontal="left" vertical="center" wrapText="1"/>
    </xf>
    <xf numFmtId="0" fontId="8" fillId="4" borderId="10" applyAlignment="1" pivotButton="0" quotePrefix="0" xfId="0">
      <alignment horizontal="right" vertical="center"/>
    </xf>
    <xf numFmtId="0" fontId="18" fillId="4" borderId="10" applyAlignment="1" pivotButton="0" quotePrefix="0" xfId="0">
      <alignment horizontal="left" vertical="top" wrapText="1"/>
    </xf>
    <xf numFmtId="0" fontId="7" fillId="5" borderId="10" applyAlignment="1" pivotButton="0" quotePrefix="0" xfId="0">
      <alignment horizontal="left" vertical="center" wrapText="1"/>
    </xf>
    <xf numFmtId="0" fontId="7" fillId="5" borderId="10" applyAlignment="1" pivotButton="0" quotePrefix="0" xfId="0">
      <alignment horizontal="center" vertical="center" wrapText="1"/>
    </xf>
    <xf numFmtId="2" fontId="8" fillId="4" borderId="10" applyAlignment="1" pivotButton="0" quotePrefix="0" xfId="0">
      <alignment horizontal="right" vertical="center"/>
    </xf>
    <xf numFmtId="1" fontId="8" fillId="4" borderId="10" applyAlignment="1" pivotButton="0" quotePrefix="0" xfId="0">
      <alignment horizontal="right" vertical="center"/>
    </xf>
    <xf numFmtId="167" fontId="8" fillId="4" borderId="10" applyAlignment="1" pivotButton="0" quotePrefix="0" xfId="0">
      <alignment horizontal="right" vertical="center"/>
    </xf>
    <xf numFmtId="3" fontId="18" fillId="4" borderId="10" applyAlignment="1" pivotButton="0" quotePrefix="0" xfId="0">
      <alignment horizontal="left" vertical="top" wrapText="1"/>
    </xf>
    <xf numFmtId="168" fontId="8" fillId="4" borderId="10" applyAlignment="1" pivotButton="0" quotePrefix="0" xfId="0">
      <alignment horizontal="right" vertical="center"/>
    </xf>
    <xf numFmtId="169" fontId="8" fillId="4" borderId="10" applyAlignment="1" pivotButton="0" quotePrefix="0" xfId="0">
      <alignment horizontal="right" vertical="center"/>
    </xf>
    <xf numFmtId="9" fontId="8" fillId="4" borderId="10" applyAlignment="1" pivotButton="0" quotePrefix="0" xfId="0">
      <alignment horizontal="right" vertical="center"/>
    </xf>
    <xf numFmtId="2" fontId="8" fillId="4" borderId="10" applyAlignment="1" pivotButton="0" quotePrefix="0" xfId="0">
      <alignment horizontal="left" vertical="center" wrapText="1"/>
    </xf>
    <xf numFmtId="1" fontId="8" fillId="4" borderId="10" applyAlignment="1" pivotButton="0" quotePrefix="0" xfId="0">
      <alignment horizontal="left" vertical="center" wrapText="1"/>
    </xf>
    <xf numFmtId="170" fontId="8" fillId="4" borderId="10" applyAlignment="1" pivotButton="0" quotePrefix="0" xfId="0">
      <alignment horizontal="left" vertical="center" wrapText="1"/>
    </xf>
    <xf numFmtId="2" fontId="33" fillId="0" borderId="11" applyAlignment="1" pivotButton="0" quotePrefix="0" xfId="0">
      <alignment horizontal="center" vertical="center" wrapText="1"/>
    </xf>
    <xf numFmtId="0" fontId="34" fillId="0" borderId="11" applyAlignment="1" pivotButton="0" quotePrefix="0" xfId="0">
      <alignment horizontal="left" vertical="center"/>
    </xf>
    <xf numFmtId="0" fontId="31" fillId="14" borderId="11" applyAlignment="1" pivotButton="0" quotePrefix="0" xfId="0">
      <alignment horizontal="left" vertical="center"/>
    </xf>
    <xf numFmtId="0" fontId="31" fillId="14" borderId="11" pivotButton="0" quotePrefix="0" xfId="0"/>
    <xf numFmtId="0" fontId="7" fillId="15" borderId="11" applyAlignment="1" pivotButton="0" quotePrefix="0" xfId="0">
      <alignment horizontal="center" vertical="center" wrapText="1"/>
    </xf>
    <xf numFmtId="0" fontId="7" fillId="15" borderId="11" applyAlignment="1" pivotButton="0" quotePrefix="0" xfId="0">
      <alignment horizontal="left" vertical="center" wrapText="1"/>
    </xf>
    <xf numFmtId="0" fontId="34" fillId="0" borderId="11" applyAlignment="1" pivotButton="0" quotePrefix="0" xfId="0">
      <alignment horizontal="left"/>
    </xf>
    <xf numFmtId="0" fontId="7" fillId="15" borderId="11" applyAlignment="1" pivotButton="0" quotePrefix="0" xfId="0">
      <alignment horizontal="left"/>
    </xf>
    <xf numFmtId="0" fontId="8" fillId="4" borderId="10" applyAlignment="1" pivotButton="0" quotePrefix="0" xfId="0">
      <alignment horizontal="right" vertical="center" wrapText="1"/>
    </xf>
    <xf numFmtId="3" fontId="8" fillId="4" borderId="10" applyAlignment="1" pivotButton="0" quotePrefix="0" xfId="0">
      <alignment horizontal="right" vertical="center" wrapText="1"/>
    </xf>
    <xf numFmtId="3" fontId="0" fillId="0" borderId="0" applyAlignment="1" pivotButton="0" quotePrefix="0" xfId="0">
      <alignment wrapText="1"/>
    </xf>
    <xf numFmtId="1" fontId="8" fillId="4" borderId="10" applyAlignment="1" pivotButton="0" quotePrefix="0" xfId="0">
      <alignment horizontal="right" vertical="center" wrapText="1"/>
    </xf>
    <xf numFmtId="169" fontId="8" fillId="4" borderId="10" applyAlignment="1" pivotButton="0" quotePrefix="0" xfId="0">
      <alignment horizontal="right" vertical="center" wrapText="1"/>
    </xf>
    <xf numFmtId="2" fontId="8" fillId="4" borderId="10" applyAlignment="1" pivotButton="0" quotePrefix="0" xfId="0">
      <alignment horizontal="right" vertical="center" wrapText="1"/>
    </xf>
    <xf numFmtId="170" fontId="8" fillId="4" borderId="10" applyAlignment="1" pivotButton="0" quotePrefix="0" xfId="0">
      <alignment horizontal="right" vertical="center" wrapText="1"/>
    </xf>
    <xf numFmtId="9" fontId="8" fillId="4" borderId="10" applyAlignment="1" pivotButton="0" quotePrefix="0" xfId="0">
      <alignment horizontal="right" vertical="center" wrapText="1"/>
    </xf>
    <xf numFmtId="2" fontId="0" fillId="0" borderId="0" applyAlignment="1" pivotButton="0" quotePrefix="0" xfId="0">
      <alignment wrapText="1"/>
    </xf>
    <xf numFmtId="170" fontId="0" fillId="0" borderId="0" applyAlignment="1" pivotButton="0" quotePrefix="0" xfId="0">
      <alignment wrapText="1"/>
    </xf>
    <xf numFmtId="0" fontId="31" fillId="14" borderId="11" applyAlignment="1" pivotButton="0" quotePrefix="0" xfId="0">
      <alignment wrapText="1"/>
    </xf>
    <xf numFmtId="0" fontId="7" fillId="15" borderId="11" applyAlignment="1" pivotButton="0" quotePrefix="0" xfId="0">
      <alignment horizontal="center" wrapText="1"/>
    </xf>
    <xf numFmtId="2" fontId="33" fillId="0" borderId="11" applyAlignment="1" pivotButton="0" quotePrefix="0" xfId="0">
      <alignment horizontal="center" wrapText="1"/>
    </xf>
    <xf numFmtId="0" fontId="14" fillId="7" borderId="9" applyAlignment="1" pivotButton="0" quotePrefix="0" xfId="0">
      <alignment horizontal="center" vertical="center" wrapText="1"/>
    </xf>
    <xf numFmtId="3" fontId="7" fillId="4" borderId="9" applyAlignment="1" pivotButton="0" quotePrefix="0" xfId="0">
      <alignment horizontal="right" vertical="center" indent="1"/>
    </xf>
    <xf numFmtId="0" fontId="26" fillId="0" borderId="0" applyAlignment="1" pivotButton="0" quotePrefix="0" xfId="0">
      <alignment horizontal="left" vertical="center"/>
    </xf>
    <xf numFmtId="0" fontId="26" fillId="0" borderId="0" applyAlignment="1" pivotButton="0" quotePrefix="0" xfId="0">
      <alignment horizontal="right" vertical="center"/>
    </xf>
    <xf numFmtId="0" fontId="7" fillId="4" borderId="9" applyAlignment="1" pivotButton="0" quotePrefix="0" xfId="0">
      <alignment horizontal="left" vertical="center" indent="1"/>
    </xf>
    <xf numFmtId="0" fontId="9" fillId="4" borderId="9" applyAlignment="1" pivotButton="0" quotePrefix="0" xfId="0">
      <alignment horizontal="left" vertical="center" indent="1"/>
    </xf>
    <xf numFmtId="0" fontId="21" fillId="8" borderId="12" applyAlignment="1" pivotButton="0" quotePrefix="0" xfId="0">
      <alignment horizontal="center" vertical="center" wrapText="1"/>
    </xf>
    <xf numFmtId="0" fontId="7" fillId="0" borderId="12" applyAlignment="1" pivotButton="0" quotePrefix="0" xfId="0">
      <alignment horizontal="center" vertical="center"/>
    </xf>
    <xf numFmtId="0" fontId="7" fillId="0" borderId="12" applyAlignment="1" pivotButton="0" quotePrefix="0" xfId="0">
      <alignment horizontal="left" vertical="center"/>
    </xf>
    <xf numFmtId="2" fontId="7" fillId="0" borderId="12" applyAlignment="1" pivotButton="0" quotePrefix="0" xfId="0">
      <alignment horizontal="center" vertical="center"/>
    </xf>
    <xf numFmtId="165" fontId="7" fillId="0" borderId="12" applyAlignment="1" pivotButton="0" quotePrefix="0" xfId="0">
      <alignment horizontal="center" vertical="center"/>
    </xf>
    <xf numFmtId="0" fontId="8" fillId="0" borderId="0" applyAlignment="1" pivotButton="0" quotePrefix="0" xfId="0">
      <alignment vertical="top" wrapText="1"/>
    </xf>
    <xf numFmtId="0" fontId="36" fillId="0" borderId="0" pivotButton="0" quotePrefix="0" xfId="0"/>
    <xf numFmtId="0" fontId="34" fillId="17" borderId="13" pivotButton="0" quotePrefix="0" xfId="0"/>
    <xf numFmtId="0" fontId="0" fillId="18" borderId="13" pivotButton="0" quotePrefix="0" xfId="0"/>
    <xf numFmtId="0" fontId="8" fillId="4" borderId="13" applyAlignment="1" pivotButton="0" quotePrefix="0" xfId="0">
      <alignment horizontal="center" vertical="center"/>
    </xf>
    <xf numFmtId="0" fontId="38" fillId="18" borderId="13" applyAlignment="1" pivotButton="0" quotePrefix="0" xfId="0">
      <alignment horizontal="center" vertical="center" wrapText="1"/>
    </xf>
    <xf numFmtId="0" fontId="8" fillId="19" borderId="13" applyAlignment="1" pivotButton="0" quotePrefix="0" xfId="0">
      <alignment horizontal="right" vertical="center"/>
    </xf>
    <xf numFmtId="0" fontId="13" fillId="7" borderId="5" applyAlignment="1" pivotButton="0" quotePrefix="0" xfId="0">
      <alignment horizontal="left" vertical="center" wrapText="1" indent="1"/>
    </xf>
    <xf numFmtId="0" fontId="0" fillId="0" borderId="16" pivotButton="0" quotePrefix="0" xfId="0"/>
    <xf numFmtId="0" fontId="8" fillId="19" borderId="17" applyAlignment="1" pivotButton="0" quotePrefix="0" xfId="0">
      <alignment horizontal="right" vertical="center" indent="1"/>
    </xf>
    <xf numFmtId="3" fontId="8" fillId="19" borderId="17" applyAlignment="1" pivotButton="0" quotePrefix="0" xfId="0">
      <alignment horizontal="right" vertical="center" indent="1"/>
    </xf>
    <xf numFmtId="3" fontId="42" fillId="19" borderId="17" applyAlignment="1" pivotButton="0" quotePrefix="0" xfId="0">
      <alignment horizontal="right" vertical="center" indent="1"/>
    </xf>
    <xf numFmtId="0" fontId="8" fillId="17" borderId="17" applyAlignment="1" pivotButton="0" quotePrefix="0" xfId="0">
      <alignment horizontal="right" vertical="center" indent="1"/>
    </xf>
    <xf numFmtId="1" fontId="8" fillId="19" borderId="17" applyAlignment="1" pivotButton="0" quotePrefix="0" xfId="0">
      <alignment horizontal="right" vertical="center" indent="1"/>
    </xf>
    <xf numFmtId="0" fontId="42" fillId="19" borderId="17" applyAlignment="1" pivotButton="0" quotePrefix="0" xfId="0">
      <alignment horizontal="right" vertical="center" indent="1"/>
    </xf>
    <xf numFmtId="0" fontId="0" fillId="19" borderId="17" pivotButton="0" quotePrefix="0" xfId="0"/>
    <xf numFmtId="165" fontId="8" fillId="19" borderId="17" applyAlignment="1" pivotButton="0" quotePrefix="0" xfId="0">
      <alignment horizontal="right" vertical="center" indent="1"/>
    </xf>
    <xf numFmtId="0" fontId="8" fillId="19" borderId="17" pivotButton="0" quotePrefix="0" xfId="0"/>
    <xf numFmtId="0" fontId="8" fillId="20" borderId="17" applyAlignment="1" pivotButton="0" quotePrefix="0" xfId="0">
      <alignment horizontal="right" vertical="center" indent="1"/>
    </xf>
    <xf numFmtId="0" fontId="8" fillId="19" borderId="13" applyAlignment="1" pivotButton="0" quotePrefix="0" xfId="0">
      <alignment horizontal="left" vertical="center" wrapText="1"/>
    </xf>
    <xf numFmtId="9" fontId="8" fillId="19" borderId="13" applyAlignment="1" pivotButton="0" quotePrefix="0" xfId="0">
      <alignment horizontal="right" vertical="center" wrapText="1"/>
    </xf>
    <xf numFmtId="169" fontId="8" fillId="19" borderId="13" applyAlignment="1" pivotButton="0" quotePrefix="0" xfId="0">
      <alignment horizontal="right" vertical="center" wrapText="1"/>
    </xf>
    <xf numFmtId="0" fontId="39" fillId="7" borderId="13" applyAlignment="1" pivotButton="0" quotePrefix="0" xfId="0">
      <alignment horizontal="left" vertical="center" wrapText="1"/>
    </xf>
    <xf numFmtId="0" fontId="39" fillId="19" borderId="13" applyAlignment="1" pivotButton="0" quotePrefix="0" xfId="0">
      <alignment horizontal="left" vertical="center" wrapText="1"/>
    </xf>
    <xf numFmtId="0" fontId="39" fillId="19" borderId="13" applyAlignment="1" pivotButton="0" quotePrefix="0" xfId="0">
      <alignment horizontal="right" vertical="center"/>
    </xf>
    <xf numFmtId="9" fontId="8" fillId="19" borderId="13" applyAlignment="1" pivotButton="0" quotePrefix="0" xfId="0">
      <alignment horizontal="right" vertical="center"/>
    </xf>
    <xf numFmtId="3" fontId="8" fillId="19" borderId="13" applyAlignment="1" pivotButton="0" quotePrefix="0" xfId="0">
      <alignment horizontal="right" vertical="center" wrapText="1"/>
    </xf>
    <xf numFmtId="0" fontId="8" fillId="19" borderId="13" applyAlignment="1" pivotButton="0" quotePrefix="0" xfId="0">
      <alignment horizontal="right" vertical="center" wrapText="1"/>
    </xf>
    <xf numFmtId="0" fontId="2" fillId="0" borderId="16" applyAlignment="1" pivotButton="0" quotePrefix="0" xfId="0">
      <alignment horizontal="left" vertical="top" wrapText="1"/>
    </xf>
    <xf numFmtId="0" fontId="8" fillId="19" borderId="17" applyAlignment="1" pivotButton="0" quotePrefix="0" xfId="0">
      <alignment horizontal="left" vertical="center" wrapText="1" indent="1"/>
    </xf>
    <xf numFmtId="0" fontId="39" fillId="7" borderId="17" applyAlignment="1" pivotButton="0" quotePrefix="0" xfId="0">
      <alignment horizontal="left" vertical="center" wrapText="1" indent="1"/>
    </xf>
    <xf numFmtId="0" fontId="38" fillId="19" borderId="17" applyAlignment="1" pivotButton="0" quotePrefix="0" xfId="0">
      <alignment horizontal="left" vertical="center" wrapText="1" indent="1"/>
    </xf>
    <xf numFmtId="0" fontId="21" fillId="7" borderId="17" applyAlignment="1" pivotButton="0" quotePrefix="0" xfId="0">
      <alignment horizontal="center" vertical="center" wrapText="1"/>
    </xf>
    <xf numFmtId="1" fontId="8" fillId="19" borderId="17" applyAlignment="1" pivotButton="0" quotePrefix="0" xfId="0">
      <alignment horizontal="center" vertical="center" wrapText="1"/>
    </xf>
    <xf numFmtId="0" fontId="36" fillId="19" borderId="13" applyAlignment="1" pivotButton="0" quotePrefix="0" xfId="0">
      <alignment horizontal="left" vertical="top" wrapText="1"/>
    </xf>
    <xf numFmtId="0" fontId="38" fillId="18" borderId="13" applyAlignment="1" pivotButton="0" quotePrefix="0" xfId="0">
      <alignment horizontal="left" vertical="center" wrapText="1"/>
    </xf>
    <xf numFmtId="1" fontId="8" fillId="19" borderId="13" applyAlignment="1" pivotButton="0" quotePrefix="0" xfId="0">
      <alignment horizontal="right" vertical="center"/>
    </xf>
    <xf numFmtId="165" fontId="8" fillId="19" borderId="13" applyAlignment="1" pivotButton="0" quotePrefix="0" xfId="0">
      <alignment horizontal="right" vertical="center"/>
    </xf>
    <xf numFmtId="0" fontId="2" fillId="0" borderId="16" applyAlignment="1" pivotButton="0" quotePrefix="0" xfId="0">
      <alignment wrapText="1"/>
    </xf>
    <xf numFmtId="10" fontId="0" fillId="0" borderId="16" pivotButton="0" quotePrefix="0" xfId="0"/>
    <xf numFmtId="0" fontId="5" fillId="2" borderId="16" applyAlignment="1" pivotButton="0" quotePrefix="0" xfId="0">
      <alignment wrapText="1"/>
    </xf>
    <xf numFmtId="0" fontId="33" fillId="0" borderId="13" applyAlignment="1" pivotButton="0" quotePrefix="0" xfId="0">
      <alignment horizontal="center" vertical="center"/>
    </xf>
    <xf numFmtId="0" fontId="33" fillId="0" borderId="13" applyAlignment="1" pivotButton="0" quotePrefix="0" xfId="0">
      <alignment horizontal="left" vertical="center" wrapText="1"/>
    </xf>
    <xf numFmtId="0" fontId="33" fillId="0" borderId="13" applyAlignment="1" pivotButton="0" quotePrefix="0" xfId="0">
      <alignment horizontal="center" vertical="center" wrapText="1"/>
    </xf>
    <xf numFmtId="0" fontId="33" fillId="20" borderId="13" applyAlignment="1" pivotButton="0" quotePrefix="0" xfId="0">
      <alignment horizontal="center" vertical="center"/>
    </xf>
    <xf numFmtId="10" fontId="33" fillId="0" borderId="13" applyAlignment="1" pivotButton="0" quotePrefix="0" xfId="0">
      <alignment horizontal="center" vertical="center"/>
    </xf>
    <xf numFmtId="2" fontId="33" fillId="0" borderId="13" applyAlignment="1" pivotButton="0" quotePrefix="0" xfId="0">
      <alignment horizontal="center" vertical="center"/>
    </xf>
    <xf numFmtId="2" fontId="8" fillId="19" borderId="17" applyAlignment="1" pivotButton="0" quotePrefix="0" xfId="0">
      <alignment horizontal="center" vertical="center"/>
    </xf>
    <xf numFmtId="165" fontId="0" fillId="0" borderId="16" pivotButton="0" quotePrefix="0" xfId="0"/>
    <xf numFmtId="0" fontId="8" fillId="19" borderId="17" applyAlignment="1" pivotButton="0" quotePrefix="0" xfId="0">
      <alignment horizontal="left" vertical="center" wrapText="1" indent="3"/>
    </xf>
    <xf numFmtId="2" fontId="21" fillId="7" borderId="17" applyAlignment="1" pivotButton="0" quotePrefix="0" xfId="0">
      <alignment horizontal="right" vertical="center" indent="1"/>
    </xf>
    <xf numFmtId="0" fontId="21" fillId="7" borderId="17" applyAlignment="1" pivotButton="0" quotePrefix="0" xfId="0">
      <alignment horizontal="left" vertical="center" wrapText="1" indent="1"/>
    </xf>
    <xf numFmtId="0" fontId="8" fillId="19" borderId="17" applyAlignment="1" pivotButton="0" quotePrefix="0" xfId="0">
      <alignment horizontal="center" vertical="center" wrapText="1"/>
    </xf>
    <xf numFmtId="0" fontId="38" fillId="9" borderId="17" applyAlignment="1" pivotButton="0" quotePrefix="0" xfId="0">
      <alignment horizontal="left" vertical="center" wrapText="1" indent="1"/>
    </xf>
    <xf numFmtId="0" fontId="8" fillId="9" borderId="17" applyAlignment="1" pivotButton="0" quotePrefix="0" xfId="0">
      <alignment horizontal="center" vertical="center" wrapText="1"/>
    </xf>
    <xf numFmtId="0" fontId="39" fillId="7" borderId="10" applyAlignment="1" pivotButton="0" quotePrefix="0" xfId="0">
      <alignment horizontal="left" vertical="center" wrapText="1"/>
    </xf>
    <xf numFmtId="0" fontId="39" fillId="5" borderId="10" applyAlignment="1" pivotButton="0" quotePrefix="0" xfId="0">
      <alignment horizontal="left" vertical="center" wrapText="1"/>
    </xf>
    <xf numFmtId="0" fontId="39" fillId="4" borderId="10" applyAlignment="1" pivotButton="0" quotePrefix="0" xfId="0">
      <alignment horizontal="left" vertical="center" wrapText="1"/>
    </xf>
    <xf numFmtId="0" fontId="38" fillId="4" borderId="10" applyAlignment="1" pivotButton="0" quotePrefix="0" xfId="0">
      <alignment horizontal="right" vertical="center"/>
    </xf>
    <xf numFmtId="0" fontId="8" fillId="0" borderId="0" applyAlignment="1" pivotButton="0" quotePrefix="0" xfId="0">
      <alignment horizontal="right" vertical="center"/>
    </xf>
    <xf numFmtId="0" fontId="36" fillId="4" borderId="10" applyAlignment="1" pivotButton="0" quotePrefix="0" xfId="0">
      <alignment horizontal="right" vertical="center"/>
    </xf>
    <xf numFmtId="0" fontId="2" fillId="21" borderId="16" applyAlignment="1" pivotButton="0" quotePrefix="0" xfId="0">
      <alignment wrapText="1"/>
    </xf>
    <xf numFmtId="0" fontId="39" fillId="0" borderId="0" applyAlignment="1" pivotButton="0" quotePrefix="0" xfId="0">
      <alignment wrapText="1"/>
    </xf>
    <xf numFmtId="0" fontId="39" fillId="0" borderId="0" pivotButton="0" quotePrefix="0" xfId="0"/>
    <xf numFmtId="0" fontId="33" fillId="21" borderId="13" applyAlignment="1" pivotButton="0" quotePrefix="0" xfId="0">
      <alignment horizontal="center" vertical="center"/>
    </xf>
    <xf numFmtId="0" fontId="34" fillId="0" borderId="13" applyAlignment="1" pivotButton="0" quotePrefix="0" xfId="0">
      <alignment horizontal="center"/>
    </xf>
    <xf numFmtId="0" fontId="34" fillId="0" borderId="13" applyAlignment="1" pivotButton="0" quotePrefix="0" xfId="0">
      <alignment horizontal="left" wrapText="1"/>
    </xf>
    <xf numFmtId="0" fontId="34" fillId="0" borderId="13" applyAlignment="1" pivotButton="0" quotePrefix="0" xfId="0">
      <alignment horizontal="center" wrapText="1"/>
    </xf>
    <xf numFmtId="10" fontId="34" fillId="0" borderId="13" applyAlignment="1" pivotButton="0" quotePrefix="0" xfId="0">
      <alignment horizontal="center"/>
    </xf>
    <xf numFmtId="0" fontId="14" fillId="7" borderId="17" applyAlignment="1" pivotButton="0" quotePrefix="0" xfId="0">
      <alignment horizontal="center" vertical="center"/>
    </xf>
    <xf numFmtId="0" fontId="8" fillId="0" borderId="16" applyAlignment="1" pivotButton="0" quotePrefix="0" xfId="0">
      <alignment vertical="top" wrapText="1"/>
    </xf>
    <xf numFmtId="0" fontId="21" fillId="7" borderId="17" applyAlignment="1" pivotButton="0" quotePrefix="0" xfId="0">
      <alignment horizontal="center" vertical="center"/>
    </xf>
    <xf numFmtId="0" fontId="8" fillId="19" borderId="17" applyAlignment="1" pivotButton="0" quotePrefix="0" xfId="0">
      <alignment horizontal="left" vertical="center" indent="1"/>
    </xf>
    <xf numFmtId="3" fontId="8" fillId="21" borderId="17" applyAlignment="1" pivotButton="0" quotePrefix="0" xfId="0">
      <alignment horizontal="right" vertical="center" indent="1"/>
    </xf>
    <xf numFmtId="164" fontId="8" fillId="19" borderId="17" applyAlignment="1" pivotButton="0" quotePrefix="0" xfId="0">
      <alignment horizontal="right" vertical="center" indent="1"/>
    </xf>
    <xf numFmtId="164" fontId="8" fillId="21" borderId="17" applyAlignment="1" pivotButton="0" quotePrefix="0" xfId="0">
      <alignment horizontal="right" vertical="center" indent="1"/>
    </xf>
    <xf numFmtId="0" fontId="38" fillId="18" borderId="17" applyAlignment="1" pivotButton="0" quotePrefix="0" xfId="0">
      <alignment horizontal="left" vertical="center" indent="1"/>
    </xf>
    <xf numFmtId="3" fontId="38" fillId="18" borderId="17" applyAlignment="1" pivotButton="0" quotePrefix="0" xfId="0">
      <alignment horizontal="right" vertical="center" indent="1"/>
    </xf>
    <xf numFmtId="166" fontId="8" fillId="19" borderId="17" applyAlignment="1" pivotButton="0" quotePrefix="0" xfId="0">
      <alignment horizontal="right" vertical="center" indent="1"/>
    </xf>
    <xf numFmtId="0" fontId="9" fillId="19" borderId="17" applyAlignment="1" pivotButton="0" quotePrefix="0" xfId="0">
      <alignment horizontal="left" vertical="center" indent="1"/>
    </xf>
    <xf numFmtId="3" fontId="9" fillId="19" borderId="17" applyAlignment="1" pivotButton="0" quotePrefix="0" xfId="0">
      <alignment horizontal="right" vertical="center" indent="1"/>
    </xf>
    <xf numFmtId="3" fontId="9" fillId="21" borderId="17" applyAlignment="1" pivotButton="0" quotePrefix="0" xfId="0">
      <alignment horizontal="right" vertical="center" indent="1"/>
    </xf>
    <xf numFmtId="3" fontId="38" fillId="19" borderId="17" applyAlignment="1" pivotButton="0" quotePrefix="0" xfId="0">
      <alignment horizontal="right" vertical="center" indent="1"/>
    </xf>
    <xf numFmtId="0" fontId="38" fillId="19" borderId="17" applyAlignment="1" pivotButton="0" quotePrefix="0" xfId="0">
      <alignment horizontal="left" vertical="center" indent="1"/>
    </xf>
    <xf numFmtId="0" fontId="38" fillId="19" borderId="17" applyAlignment="1" pivotButton="0" quotePrefix="0" xfId="0">
      <alignment horizontal="right" vertical="center" indent="1"/>
    </xf>
    <xf numFmtId="0" fontId="0" fillId="0" borderId="8" pivotButton="0" quotePrefix="0" xfId="0"/>
    <xf numFmtId="0" fontId="0" fillId="0" borderId="7" pivotButton="0" quotePrefix="0" xfId="0"/>
    <xf numFmtId="165" fontId="38" fillId="21" borderId="17" applyAlignment="1" pivotButton="0" quotePrefix="0" xfId="0">
      <alignment horizontal="right" vertical="center" indent="1"/>
    </xf>
    <xf numFmtId="164" fontId="9" fillId="21" borderId="17" applyAlignment="1" pivotButton="0" quotePrefix="0" xfId="0">
      <alignment horizontal="right" vertical="center" indent="1"/>
    </xf>
    <xf numFmtId="165" fontId="38" fillId="19" borderId="17" applyAlignment="1" pivotButton="0" quotePrefix="0" xfId="0">
      <alignment horizontal="right" vertical="center" indent="1"/>
    </xf>
    <xf numFmtId="164" fontId="38" fillId="19" borderId="17" applyAlignment="1" pivotButton="0" quotePrefix="0" xfId="0">
      <alignment horizontal="right" vertical="center" indent="1"/>
    </xf>
    <xf numFmtId="3" fontId="2" fillId="0" borderId="16" applyAlignment="1" pivotButton="0" quotePrefix="0" xfId="0">
      <alignment wrapText="1"/>
    </xf>
    <xf numFmtId="2" fontId="2" fillId="0" borderId="16" applyAlignment="1" pivotButton="0" quotePrefix="0" xfId="0">
      <alignment wrapText="1"/>
    </xf>
    <xf numFmtId="1" fontId="2" fillId="0" borderId="16" applyAlignment="1" pivotButton="0" quotePrefix="0" xfId="0">
      <alignment wrapText="1"/>
    </xf>
    <xf numFmtId="164" fontId="8" fillId="4" borderId="10" applyAlignment="1" pivotButton="0" quotePrefix="0" xfId="0">
      <alignment horizontal="right" vertical="center"/>
    </xf>
    <xf numFmtId="9" fontId="18" fillId="4" borderId="10" applyAlignment="1" pivotButton="0" quotePrefix="0" xfId="0">
      <alignment horizontal="left" vertical="top" wrapText="1"/>
    </xf>
    <xf numFmtId="164" fontId="18" fillId="4" borderId="10" applyAlignment="1" pivotButton="0" quotePrefix="0" xfId="0">
      <alignment horizontal="left" vertical="top" wrapText="1"/>
    </xf>
    <xf numFmtId="9" fontId="25" fillId="7" borderId="10" applyAlignment="1" pivotButton="0" quotePrefix="0" xfId="0">
      <alignment horizontal="left" vertical="center" wrapText="1"/>
    </xf>
    <xf numFmtId="164" fontId="25" fillId="7" borderId="10" applyAlignment="1" pivotButton="0" quotePrefix="0" xfId="0">
      <alignment horizontal="left" vertical="center" wrapText="1"/>
    </xf>
    <xf numFmtId="9" fontId="7" fillId="5" borderId="10" applyAlignment="1" pivotButton="0" quotePrefix="0" xfId="0">
      <alignment horizontal="center" vertical="center" wrapText="1"/>
    </xf>
    <xf numFmtId="164" fontId="7" fillId="5" borderId="10" applyAlignment="1" pivotButton="0" quotePrefix="0" xfId="0">
      <alignment horizontal="center" vertical="center" wrapText="1"/>
    </xf>
    <xf numFmtId="3" fontId="0" fillId="0" borderId="16" pivotButton="0" quotePrefix="0" xfId="0"/>
    <xf numFmtId="2" fontId="0" fillId="0" borderId="16" pivotButton="0" quotePrefix="0" xfId="0"/>
    <xf numFmtId="1" fontId="0" fillId="0" borderId="16" pivotButton="0" quotePrefix="0" xfId="0"/>
    <xf numFmtId="0" fontId="36" fillId="21" borderId="13" applyAlignment="1" pivotButton="0" quotePrefix="0" xfId="0">
      <alignment horizontal="center" vertical="center" wrapText="1"/>
    </xf>
    <xf numFmtId="2" fontId="7" fillId="19" borderId="17" applyAlignment="1" pivotButton="0" quotePrefix="0" xfId="0">
      <alignment horizontal="center" vertical="center"/>
    </xf>
    <xf numFmtId="0" fontId="8" fillId="19" borderId="17" applyAlignment="1" pivotButton="0" quotePrefix="0" xfId="0">
      <alignment horizontal="left" vertical="center" wrapText="1" indent="1"/>
    </xf>
    <xf numFmtId="0" fontId="0" fillId="0" borderId="7" pivotButton="0" quotePrefix="0" xfId="0"/>
    <xf numFmtId="0" fontId="21" fillId="7" borderId="17" applyAlignment="1" pivotButton="0" quotePrefix="0" xfId="0">
      <alignment horizontal="center" vertical="center" wrapText="1"/>
    </xf>
    <xf numFmtId="0" fontId="0" fillId="0" borderId="8" pivotButton="0" quotePrefix="0" xfId="0"/>
    <xf numFmtId="0" fontId="8" fillId="19" borderId="17" applyAlignment="1" pivotButton="0" quotePrefix="0" xfId="0">
      <alignment horizontal="center" vertical="center" wrapText="1"/>
    </xf>
    <xf numFmtId="0" fontId="11" fillId="19" borderId="17" applyAlignment="1" pivotButton="0" quotePrefix="0" xfId="0">
      <alignment horizontal="center" vertical="center" wrapText="1"/>
    </xf>
    <xf numFmtId="0" fontId="11" fillId="0" borderId="16" applyAlignment="1" pivotButton="0" quotePrefix="0" xfId="0">
      <alignment horizontal="left" vertical="center" wrapText="1" indent="1"/>
    </xf>
    <xf numFmtId="0" fontId="0" fillId="0" borderId="0" pivotButton="0" quotePrefix="0" xfId="0"/>
    <xf numFmtId="0" fontId="39" fillId="7" borderId="17" applyAlignment="1" pivotButton="0" quotePrefix="0" xfId="0">
      <alignment horizontal="center" vertical="center" wrapText="1"/>
    </xf>
    <xf numFmtId="1" fontId="8" fillId="19" borderId="17" applyAlignment="1" pivotButton="0" quotePrefix="0" xfId="0">
      <alignment horizontal="center" vertical="center"/>
    </xf>
    <xf numFmtId="1" fontId="8" fillId="19" borderId="17" applyAlignment="1" pivotButton="0" quotePrefix="0" xfId="0">
      <alignment horizontal="center" vertical="center" wrapText="1"/>
    </xf>
    <xf numFmtId="0" fontId="39" fillId="7" borderId="17" applyAlignment="1" pivotButton="0" quotePrefix="0" xfId="0">
      <alignment horizontal="left" vertical="center" wrapText="1" indent="1"/>
    </xf>
    <xf numFmtId="0" fontId="8" fillId="4" borderId="17" applyAlignment="1" pivotButton="0" quotePrefix="0" xfId="0">
      <alignment horizontal="left" vertical="center" wrapText="1" indent="1"/>
    </xf>
    <xf numFmtId="0" fontId="38" fillId="19" borderId="17" applyAlignment="1" pivotButton="0" quotePrefix="0" xfId="0">
      <alignment horizontal="left" vertical="center" wrapText="1" indent="1"/>
    </xf>
    <xf numFmtId="0" fontId="20" fillId="7" borderId="17" applyAlignment="1" pivotButton="0" quotePrefix="0" xfId="0">
      <alignment horizontal="left" vertical="center" wrapText="1" indent="1"/>
    </xf>
    <xf numFmtId="0" fontId="29" fillId="7" borderId="17" applyAlignment="1" pivotButton="0" quotePrefix="0" xfId="0">
      <alignment horizontal="center" vertical="center" wrapText="1"/>
    </xf>
    <xf numFmtId="0" fontId="8" fillId="19" borderId="17" pivotButton="0" quotePrefix="0" xfId="0"/>
    <xf numFmtId="0" fontId="36" fillId="19" borderId="17" applyAlignment="1" pivotButton="0" quotePrefix="0" xfId="0">
      <alignment horizontal="left" vertical="top" wrapText="1" indent="1"/>
    </xf>
    <xf numFmtId="0" fontId="12" fillId="19" borderId="17" applyAlignment="1" pivotButton="0" quotePrefix="0" xfId="0">
      <alignment horizontal="center" vertical="center" wrapText="1"/>
    </xf>
    <xf numFmtId="0" fontId="0" fillId="19" borderId="17" pivotButton="0" quotePrefix="0" xfId="0"/>
    <xf numFmtId="0" fontId="19" fillId="0" borderId="16" applyAlignment="1" pivotButton="0" quotePrefix="0" xfId="0">
      <alignment horizontal="center" wrapText="1"/>
    </xf>
    <xf numFmtId="0" fontId="37" fillId="14" borderId="13" applyAlignment="1" pivotButton="0" quotePrefix="0" xfId="0">
      <alignment horizontal="center" vertical="center"/>
    </xf>
    <xf numFmtId="0" fontId="0" fillId="0" borderId="14" pivotButton="0" quotePrefix="0" xfId="0"/>
    <xf numFmtId="0" fontId="0" fillId="0" borderId="15" pivotButton="0" quotePrefix="0" xfId="0"/>
    <xf numFmtId="0" fontId="36" fillId="19" borderId="13" applyAlignment="1" pivotButton="0" quotePrefix="0" xfId="0">
      <alignment horizontal="center" vertical="center"/>
    </xf>
    <xf numFmtId="0" fontId="34" fillId="19" borderId="13" applyAlignment="1" pivotButton="0" quotePrefix="0" xfId="0">
      <alignment horizontal="left" vertical="center"/>
    </xf>
    <xf numFmtId="0" fontId="33" fillId="19" borderId="13" applyAlignment="1" pivotButton="0" quotePrefix="0" xfId="0">
      <alignment horizontal="left" vertical="center"/>
    </xf>
    <xf numFmtId="0" fontId="33" fillId="19" borderId="13" applyAlignment="1" pivotButton="0" quotePrefix="0" xfId="0">
      <alignment horizontal="left" vertical="center" wrapText="1"/>
    </xf>
    <xf numFmtId="0" fontId="38" fillId="18" borderId="13" applyAlignment="1" pivotButton="0" quotePrefix="0" xfId="0">
      <alignment horizontal="right" vertical="center"/>
    </xf>
    <xf numFmtId="0" fontId="39" fillId="14" borderId="13" applyAlignment="1" pivotButton="0" quotePrefix="0" xfId="0">
      <alignment horizontal="left" vertical="center"/>
    </xf>
    <xf numFmtId="0" fontId="13" fillId="14" borderId="13" applyAlignment="1" pivotButton="0" quotePrefix="0" xfId="0">
      <alignment horizontal="center" vertical="center"/>
    </xf>
    <xf numFmtId="0" fontId="13" fillId="14" borderId="13" applyAlignment="1" pivotButton="0" quotePrefix="0" xfId="0">
      <alignment horizontal="left" vertical="center"/>
    </xf>
    <xf numFmtId="0" fontId="41" fillId="17" borderId="13" applyAlignment="1" pivotButton="0" quotePrefix="0" xfId="0">
      <alignment horizontal="center" vertical="center" wrapText="1"/>
    </xf>
    <xf numFmtId="0" fontId="38" fillId="18" borderId="13" applyAlignment="1" pivotButton="0" quotePrefix="0" xfId="0">
      <alignment horizontal="left" vertical="center"/>
    </xf>
    <xf numFmtId="0" fontId="42" fillId="19" borderId="13" applyAlignment="1" pivotButton="0" quotePrefix="0" xfId="0">
      <alignment vertical="center" wrapText="1"/>
    </xf>
    <xf numFmtId="0" fontId="40" fillId="14" borderId="13" applyAlignment="1" pivotButton="0" quotePrefix="0" xfId="0">
      <alignment horizontal="center" vertical="center"/>
    </xf>
    <xf numFmtId="0" fontId="39" fillId="14" borderId="13" applyAlignment="1" pivotButton="0" quotePrefix="0" xfId="0">
      <alignment horizontal="center" vertical="center"/>
    </xf>
    <xf numFmtId="0" fontId="42" fillId="0" borderId="16" applyAlignment="1" pivotButton="0" quotePrefix="0" xfId="0">
      <alignment vertical="top" wrapText="1"/>
    </xf>
    <xf numFmtId="0" fontId="36" fillId="0" borderId="16" applyAlignment="1" pivotButton="0" quotePrefix="0" xfId="0">
      <alignment vertical="top" wrapText="1"/>
    </xf>
    <xf numFmtId="0" fontId="29" fillId="8" borderId="16" applyAlignment="1" pivotButton="0" quotePrefix="0" xfId="0">
      <alignment horizontal="center" vertical="center"/>
    </xf>
    <xf numFmtId="0" fontId="13" fillId="7" borderId="17" applyAlignment="1" pivotButton="0" quotePrefix="0" xfId="0">
      <alignment horizontal="center" vertical="center"/>
    </xf>
    <xf numFmtId="0" fontId="8" fillId="0" borderId="17" applyAlignment="1" pivotButton="0" quotePrefix="0" xfId="0">
      <alignment horizontal="left" vertical="top" wrapText="1" indent="1"/>
    </xf>
    <xf numFmtId="3" fontId="10" fillId="8" borderId="17" applyAlignment="1" pivotButton="0" quotePrefix="0" xfId="0">
      <alignment horizontal="center" vertical="center"/>
    </xf>
    <xf numFmtId="0" fontId="17" fillId="10" borderId="17" applyAlignment="1" pivotButton="0" quotePrefix="0" xfId="0">
      <alignment horizontal="center" vertical="center" wrapText="1"/>
    </xf>
    <xf numFmtId="0" fontId="21" fillId="7" borderId="17" applyAlignment="1" pivotButton="0" quotePrefix="0" xfId="0">
      <alignment horizontal="center" vertical="center"/>
    </xf>
    <xf numFmtId="0" fontId="11" fillId="0" borderId="16" applyAlignment="1" pivotButton="0" quotePrefix="0" xfId="0">
      <alignment horizontal="left" vertical="center" indent="1"/>
    </xf>
    <xf numFmtId="0" fontId="15" fillId="0" borderId="16" applyAlignment="1" pivotButton="0" quotePrefix="0" xfId="0">
      <alignment horizontal="center" vertical="center"/>
    </xf>
    <xf numFmtId="0" fontId="17" fillId="16" borderId="17" applyAlignment="1" pivotButton="0" quotePrefix="0" xfId="0">
      <alignment horizontal="center" vertical="center" wrapText="1"/>
    </xf>
    <xf numFmtId="3" fontId="9" fillId="21" borderId="17" applyAlignment="1" pivotButton="0" quotePrefix="0" xfId="0">
      <alignment horizontal="right" vertical="center" indent="1"/>
    </xf>
    <xf numFmtId="3" fontId="35" fillId="8" borderId="17" applyAlignment="1" pivotButton="0" quotePrefix="0" xfId="0">
      <alignment horizontal="center" vertical="center"/>
    </xf>
    <xf numFmtId="3" fontId="38" fillId="19" borderId="17" applyAlignment="1" pivotButton="0" quotePrefix="0" xfId="0">
      <alignment horizontal="right" vertical="center" indent="1"/>
    </xf>
    <xf numFmtId="0" fontId="14" fillId="7" borderId="17" applyAlignment="1" pivotButton="0" quotePrefix="0" xfId="0">
      <alignment horizontal="center" vertical="center"/>
    </xf>
    <xf numFmtId="0" fontId="21" fillId="8" borderId="17" applyAlignment="1" pivotButton="0" quotePrefix="0" xfId="0">
      <alignment horizontal="center" vertical="center" wrapText="1"/>
    </xf>
    <xf numFmtId="0" fontId="0" fillId="0" borderId="16" pivotButton="0" quotePrefix="0" xfId="0"/>
    <xf numFmtId="0" fontId="21" fillId="8" borderId="13" applyAlignment="1" pivotButton="0" quotePrefix="0" xfId="0">
      <alignment horizontal="center" vertical="center" wrapText="1"/>
    </xf>
    <xf numFmtId="0" fontId="8" fillId="4" borderId="13" applyAlignment="1" pivotButton="0" quotePrefix="0" xfId="0">
      <alignment horizontal="center" vertical="center"/>
    </xf>
    <xf numFmtId="0" fontId="36" fillId="19" borderId="13" applyAlignment="1" pivotButton="0" quotePrefix="0" xfId="0">
      <alignment horizontal="left" vertical="top" wrapText="1"/>
    </xf>
    <xf numFmtId="0" fontId="18" fillId="4" borderId="13" applyAlignment="1" pivotButton="0" quotePrefix="0" xfId="0">
      <alignment horizontal="left" vertical="center" wrapText="1"/>
    </xf>
    <xf numFmtId="0" fontId="18" fillId="4" borderId="13" applyAlignment="1" pivotButton="0" quotePrefix="0" xfId="0">
      <alignment horizontal="left" vertical="top" wrapText="1"/>
    </xf>
    <xf numFmtId="0" fontId="37" fillId="7" borderId="13" applyAlignment="1" pivotButton="0" quotePrefix="0" xfId="0">
      <alignment horizontal="center" vertical="center" wrapText="1"/>
    </xf>
    <xf numFmtId="0" fontId="7" fillId="5" borderId="13" applyAlignment="1" pivotButton="0" quotePrefix="0" xfId="0">
      <alignment horizontal="center" vertical="center" wrapText="1"/>
    </xf>
    <xf numFmtId="0" fontId="32" fillId="0" borderId="16" applyAlignment="1" pivotButton="0" quotePrefix="0" xfId="0">
      <alignment vertical="top" wrapText="1"/>
    </xf>
    <xf numFmtId="0" fontId="0" fillId="0" borderId="0" applyAlignment="1" pivotButton="0" quotePrefix="0" xfId="0">
      <alignment wrapText="1"/>
    </xf>
    <xf numFmtId="0" fontId="38" fillId="21" borderId="17" applyAlignment="1" pivotButton="0" quotePrefix="0" xfId="0">
      <alignment horizontal="center" vertical="center" wrapText="1"/>
    </xf>
    <xf numFmtId="0" fontId="2" fillId="0" borderId="16" applyAlignment="1" pivotButton="0" quotePrefix="0" xfId="0">
      <alignment horizontal="left" vertical="center" wrapText="1" indent="1"/>
    </xf>
    <xf numFmtId="0" fontId="4" fillId="2" borderId="2" applyAlignment="1" pivotButton="0" quotePrefix="0" xfId="0">
      <alignment horizontal="left" vertical="center" wrapText="1" indent="1"/>
    </xf>
    <xf numFmtId="0" fontId="14" fillId="7" borderId="17" applyAlignment="1" pivotButton="0" quotePrefix="0" xfId="0">
      <alignment horizontal="center" vertical="center" wrapText="1"/>
    </xf>
    <xf numFmtId="0" fontId="30" fillId="7" borderId="17" applyAlignment="1" pivotButton="0" quotePrefix="0" xfId="0">
      <alignment horizontal="center" vertical="center" wrapText="1"/>
    </xf>
    <xf numFmtId="0" fontId="27" fillId="4" borderId="17" applyAlignment="1" pivotButton="0" quotePrefix="0" xfId="0">
      <alignment horizontal="left" vertical="center" wrapText="1" indent="1"/>
    </xf>
    <xf numFmtId="0" fontId="26" fillId="9" borderId="17" applyAlignment="1" pivotButton="0" quotePrefix="0" xfId="0">
      <alignment horizontal="left" vertical="center" wrapText="1" indent="1"/>
    </xf>
    <xf numFmtId="0" fontId="23" fillId="12" borderId="17" applyAlignment="1" pivotButton="0" quotePrefix="0" xfId="0">
      <alignment horizontal="center" vertical="center" wrapText="1"/>
    </xf>
    <xf numFmtId="0" fontId="18" fillId="4" borderId="17" applyAlignment="1" pivotButton="0" quotePrefix="0" xfId="0">
      <alignment horizontal="left" vertical="center" wrapText="1" indent="1"/>
    </xf>
    <xf numFmtId="0" fontId="25" fillId="7" borderId="17" applyAlignment="1" pivotButton="0" quotePrefix="0" xfId="0">
      <alignment horizontal="left" vertical="center" wrapText="1" indent="1"/>
    </xf>
    <xf numFmtId="0" fontId="18" fillId="4" borderId="17" applyAlignment="1" pivotButton="0" quotePrefix="0" xfId="0">
      <alignment horizontal="center" vertical="center" wrapText="1"/>
    </xf>
    <xf numFmtId="3" fontId="28" fillId="4" borderId="17" applyAlignment="1" pivotButton="0" quotePrefix="0" xfId="0">
      <alignment horizontal="right" vertical="center" indent="1"/>
    </xf>
    <xf numFmtId="0" fontId="18" fillId="9" borderId="17" applyAlignment="1" pivotButton="0" quotePrefix="0" xfId="0">
      <alignment horizontal="left" vertical="center" wrapText="1" indent="1"/>
    </xf>
    <xf numFmtId="0" fontId="17" fillId="9" borderId="17" applyAlignment="1" pivotButton="0" quotePrefix="0" xfId="0">
      <alignment horizontal="center" vertical="center" wrapText="1"/>
    </xf>
    <xf numFmtId="3" fontId="24" fillId="12" borderId="17" applyAlignment="1" pivotButton="0" quotePrefix="0" xfId="0">
      <alignment horizontal="center" vertical="center" wrapText="1"/>
    </xf>
    <xf numFmtId="0" fontId="17" fillId="9" borderId="17" applyAlignment="1" pivotButton="0" quotePrefix="0" xfId="0">
      <alignment horizontal="left" vertical="center" wrapText="1" indent="1"/>
    </xf>
    <xf numFmtId="0" fontId="18" fillId="0" borderId="16" applyAlignment="1" pivotButton="0" quotePrefix="0" xfId="0">
      <alignment horizontal="left" vertical="top" wrapText="1" indent="1"/>
    </xf>
    <xf numFmtId="0" fontId="27" fillId="9" borderId="17" applyAlignment="1" pivotButton="0" quotePrefix="0" xfId="0">
      <alignment horizontal="left" vertical="center" wrapText="1" indent="1"/>
    </xf>
    <xf numFmtId="3" fontId="28" fillId="9" borderId="17" applyAlignment="1" pivotButton="0" quotePrefix="0" xfId="0">
      <alignment horizontal="right" vertical="center" indent="1"/>
    </xf>
    <xf numFmtId="3" fontId="22" fillId="11" borderId="17" applyAlignment="1" pivotButton="0" quotePrefix="0" xfId="0">
      <alignment horizontal="center" vertical="center" wrapText="1"/>
    </xf>
    <xf numFmtId="3" fontId="28" fillId="11" borderId="17" applyAlignment="1" pivotButton="0" quotePrefix="0" xfId="0">
      <alignment horizontal="right" vertical="center" indent="1"/>
    </xf>
    <xf numFmtId="0" fontId="8" fillId="0" borderId="16" applyAlignment="1" pivotButton="0" quotePrefix="0" xfId="0">
      <alignment vertical="top" wrapText="1"/>
    </xf>
    <xf numFmtId="0" fontId="14" fillId="8" borderId="17" applyAlignment="1" pivotButton="0" quotePrefix="0" xfId="0">
      <alignment horizontal="center" vertical="center" wrapText="1"/>
    </xf>
    <xf numFmtId="3" fontId="7" fillId="4" borderId="17" applyAlignment="1" pivotButton="0" quotePrefix="0" xfId="0">
      <alignment horizontal="right" vertical="center" indent="1"/>
    </xf>
    <xf numFmtId="3" fontId="9" fillId="3" borderId="17" applyAlignment="1" pivotButton="0" quotePrefix="0" xfId="0">
      <alignment horizontal="right" vertical="center" indent="1"/>
    </xf>
    <xf numFmtId="0" fontId="21" fillId="7" borderId="17" applyAlignment="1" pivotButton="0" quotePrefix="0" xfId="0">
      <alignment horizontal="left" vertical="center"/>
    </xf>
    <xf numFmtId="0" fontId="9" fillId="16" borderId="17" applyAlignment="1" pivotButton="0" quotePrefix="0" xfId="0">
      <alignment horizontal="center" vertical="center" wrapText="1"/>
    </xf>
    <xf numFmtId="0" fontId="43" fillId="0" borderId="8" pivotButton="0" quotePrefix="0" xfId="0"/>
    <xf numFmtId="0" fontId="43" fillId="0" borderId="7" pivotButton="0" quotePrefix="0" xfId="0"/>
    <xf numFmtId="0" fontId="9" fillId="10" borderId="17" applyAlignment="1" pivotButton="0" quotePrefix="0" xfId="0">
      <alignment horizontal="center" vertical="center" wrapText="1"/>
    </xf>
  </cellXfs>
  <cellStyles count="3">
    <cellStyle name="Normal" xfId="0" builtinId="0"/>
    <cellStyle name="Normal 3" xfId="1"/>
    <cellStyle name="Excel Built-in Heading 1" xfId="2"/>
  </cellStyles>
  <dxfs count="4">
    <dxf>
      <font>
        <i val="1"/>
        <color rgb="FFBFBFBF"/>
      </font>
      <fill>
        <patternFill patternType="solid">
          <fgColor rgb="FFF2F2F2"/>
          <bgColor rgb="FFF2F2F2"/>
        </patternFill>
      </fill>
    </dxf>
    <dxf>
      <font>
        <i val="1"/>
        <color rgb="FFBFBFBF"/>
      </font>
      <fill>
        <patternFill patternType="solid">
          <fgColor rgb="FFF2F2F2"/>
          <bgColor rgb="FFF2F2F2"/>
        </patternFill>
      </fill>
    </dxf>
    <dxf>
      <font>
        <i val="1"/>
        <color rgb="FFBFBFBF"/>
      </font>
      <fill>
        <patternFill patternType="solid">
          <fgColor rgb="FFF2F2F2"/>
          <bgColor rgb="FFF2F2F2"/>
        </patternFill>
      </fill>
    </dxf>
    <dxf>
      <font>
        <color rgb="FFBFBFBF"/>
      </font>
      <fill>
        <patternFill patternType="solid">
          <fgColor rgb="FFF2F2F2"/>
          <bgColor rgb="FFF2F2F2"/>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156082"/>
      <rgbColor rgb="FFBFBFBF"/>
      <rgbColor rgb="FF595959"/>
      <rgbColor rgb="FFE8E8E8"/>
      <rgbColor rgb="FF993366"/>
      <rgbColor rgb="FFFFF2CC"/>
      <rgbColor rgb="FFDDEEFF"/>
      <rgbColor rgb="FF660066"/>
      <rgbColor rgb="FFFF8080"/>
      <rgbColor rgb="FF0070C0"/>
      <rgbColor rgb="FFBDD7EE"/>
      <rgbColor rgb="FF000080"/>
      <rgbColor rgb="FFFF00FF"/>
      <rgbColor rgb="FFEFEFEF"/>
      <rgbColor rgb="FF00FFFF"/>
      <rgbColor rgb="FF800080"/>
      <rgbColor rgb="FF800000"/>
      <rgbColor rgb="FF00B050"/>
      <rgbColor rgb="FF0000FF"/>
      <rgbColor rgb="FF00CCFF"/>
      <rgbColor rgb="FFD6E4F0"/>
      <rgbColor rgb="FFE2EFDA"/>
      <rgbColor rgb="FFFBE3D6"/>
      <rgbColor rgb="FFB7E1CD"/>
      <rgbColor rgb="FFDCDCDC"/>
      <rgbColor rgb="FFC5C5C5"/>
      <rgbColor rgb="FFF6C6AD"/>
      <rgbColor rgb="FF3366FF"/>
      <rgbColor rgb="FF33CCCC"/>
      <rgbColor rgb="FFB4E5A2"/>
      <rgbColor rgb="FFFFC000"/>
      <rgbColor rgb="FFFF9900"/>
      <rgbColor rgb="FFE97132"/>
      <rgbColor rgb="FF666666"/>
      <rgbColor rgb="FFF2F2F2"/>
      <rgbColor rgb="FF0E2841"/>
      <rgbColor rgb="FF4EA72E"/>
      <rgbColor rgb="FF003300"/>
      <rgbColor rgb="FF333300"/>
      <rgbColor rgb="FFC04F15"/>
      <rgbColor rgb="FF993366"/>
      <rgbColor rgb="FF104862"/>
      <rgbColor rgb="FF1F3864"/>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styles" Target="styles.xml" Id="rId14"/><Relationship Type="http://schemas.openxmlformats.org/officeDocument/2006/relationships/theme" Target="theme/theme1.xml" Id="rId15"/><Relationship Type="http://schemas.microsoft.com/office/2006/relationships/vbaProject" Target="vbaProject.bin" Id="rId16"/></Relationships>
</file>

<file path=xl/ctrlProps/ctrlProp1.xml><?xml version="1.0" encoding="utf-8"?>
<formControlPr xmlns="http://schemas.microsoft.com/office/spreadsheetml/2009/9/main" objectType="Button" lockText="1"/>
</file>

<file path=xl/theme/theme1.xml><?xml version="1.0" encoding="utf-8"?>
<a:theme xmlns:a="http://schemas.openxmlformats.org/drawingml/2006/main" name="Office Theme">
  <a:themeElements>
    <a:clrScheme name="Office">
      <a:dk1>
        <a:srgbClr val="000000"/>
      </a:dk1>
      <a:lt1>
        <a:srgbClr val="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majorFont>
      <a:minorFont>
        <a:latin typeface="Aptos Narrow" panose="0211000402020202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12700" cap="flat" cmpd="sng" algn="ctr">
          <a:prstDash val="solid"/>
          <a:miter lim="800000"/>
        </a:ln>
        <a:ln w="19050" cap="flat" cmpd="sng" algn="ctr">
          <a:prstDash val="solid"/>
          <a:miter lim="800000"/>
        </a:ln>
        <a:ln w="2540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outlinePr summaryBelow="1" summaryRight="1"/>
    <pageSetUpPr fitToPage="1"/>
  </sheetPr>
  <dimension ref="A1:I26"/>
  <sheetViews>
    <sheetView showGridLines="0" zoomScale="140" workbookViewId="0">
      <selection activeCell="F12" sqref="F12:G12"/>
    </sheetView>
  </sheetViews>
  <sheetFormatPr baseColWidth="10" defaultColWidth="9" defaultRowHeight="14"/>
  <cols>
    <col width="2" customWidth="1" style="215" min="1" max="1"/>
    <col width="31" customWidth="1" style="215" min="2" max="2"/>
    <col width="29" customWidth="1" style="215" min="3" max="3"/>
    <col width="26" customWidth="1" style="215" min="4" max="4"/>
    <col width="3" customWidth="1" style="215" min="5" max="5"/>
    <col width="31" customWidth="1" style="215" min="6" max="6"/>
    <col width="29" customWidth="1" style="215" min="7" max="7"/>
    <col width="26" customWidth="1" style="215" min="8" max="8"/>
    <col width="2" customWidth="1" style="215" min="9" max="9"/>
  </cols>
  <sheetData>
    <row r="1"/>
    <row r="2" ht="32" customHeight="1" s="215">
      <c r="B2" s="223" t="inlineStr">
        <is>
          <t>Intake</t>
        </is>
      </c>
      <c r="C2" s="211" t="n"/>
      <c r="D2" s="211" t="n"/>
      <c r="E2" s="211" t="n"/>
      <c r="F2" s="211" t="n"/>
      <c r="G2" s="211" t="n"/>
      <c r="H2" s="209" t="n"/>
    </row>
    <row r="3"/>
    <row r="4" ht="26" customHeight="1" s="215">
      <c r="B4" s="222" t="inlineStr">
        <is>
          <t>Business Overview</t>
        </is>
      </c>
      <c r="C4" s="211" t="n"/>
      <c r="D4" s="209" t="n"/>
      <c r="F4" s="222" t="inlineStr">
        <is>
          <t>TTM or Last Full Year</t>
        </is>
      </c>
      <c r="G4" s="211" t="n"/>
      <c r="H4" s="209" t="n"/>
    </row>
    <row r="5" ht="24" customHeight="1" s="215">
      <c r="B5" s="220" t="inlineStr">
        <is>
          <t>Business name &amp; Owner</t>
        </is>
      </c>
      <c r="C5" s="209" t="n"/>
      <c r="D5" s="39" t="inlineStr">
        <is>
          <t>x</t>
        </is>
      </c>
      <c r="F5" s="220" t="inlineStr">
        <is>
          <t>Revenue for the period</t>
        </is>
      </c>
      <c r="G5" s="209" t="n"/>
      <c r="H5" s="40" t="n">
        <v>5000000</v>
      </c>
    </row>
    <row r="6" ht="24" customHeight="1" s="215">
      <c r="B6" s="220" t="inlineStr">
        <is>
          <t>What does the business do?</t>
        </is>
      </c>
      <c r="C6" s="209" t="n"/>
      <c r="D6" s="39" t="inlineStr">
        <is>
          <t>x</t>
        </is>
      </c>
      <c r="F6" s="220" t="inlineStr">
        <is>
          <t>Which earnings figure do you have?</t>
        </is>
      </c>
      <c r="G6" s="209" t="n"/>
      <c r="H6" s="49" t="inlineStr">
        <is>
          <t>EBITDA</t>
        </is>
      </c>
    </row>
    <row r="7" ht="24" customHeight="1" s="215">
      <c r="B7" s="220" t="inlineStr">
        <is>
          <t xml:space="preserve">Industry - as per the NAICS code </t>
        </is>
      </c>
      <c r="C7" s="209" t="n"/>
      <c r="D7" s="39">
        <f>'Industry Data'!$B$3</f>
        <v/>
      </c>
      <c r="F7" s="220" t="inlineStr">
        <is>
          <t>Operating profit - as stated on the profit and loss</t>
        </is>
      </c>
      <c r="G7" s="209" t="n"/>
      <c r="H7" s="40" t="n">
        <v>100000</v>
      </c>
    </row>
    <row r="8" ht="24" customHeight="1" s="215">
      <c r="B8" s="220" t="inlineStr">
        <is>
          <t>NAICS code the multiples are pulled from</t>
        </is>
      </c>
      <c r="C8" s="209" t="n"/>
      <c r="D8" s="39">
        <f>'Industry Data'!$B$4</f>
        <v/>
      </c>
      <c r="F8" s="220" t="inlineStr">
        <is>
          <t>Depreciation and amortisation - added back to reach SDE</t>
        </is>
      </c>
      <c r="G8" s="209" t="n"/>
      <c r="H8" s="40" t="n">
        <v>20000</v>
      </c>
    </row>
    <row r="9" ht="24" customHeight="1" s="215">
      <c r="B9" s="220" t="inlineStr">
        <is>
          <t>Years in operation</t>
        </is>
      </c>
      <c r="C9" s="209" t="n"/>
      <c r="D9" s="39" t="n"/>
      <c r="F9" s="220" t="inlineStr">
        <is>
          <t>Owner's salary through payroll - salary only</t>
        </is>
      </c>
      <c r="G9" s="209" t="n"/>
      <c r="H9" s="40" t="n">
        <v>80000</v>
      </c>
    </row>
    <row r="10" ht="24" customHeight="1" s="215">
      <c r="B10" s="220" t="inlineStr">
        <is>
          <t>Number of employees</t>
        </is>
      </c>
      <c r="C10" s="209" t="n"/>
      <c r="D10" s="39" t="n"/>
      <c r="F10" s="220" t="inlineStr">
        <is>
          <t>EBITDA - only if that is the figure you have</t>
        </is>
      </c>
      <c r="G10" s="209" t="n"/>
      <c r="H10" s="40" t="n">
        <v>1250000</v>
      </c>
    </row>
    <row r="11" ht="24" customHeight="1" s="215">
      <c r="A11" s="261" t="n"/>
      <c r="B11" s="208" t="inlineStr">
        <is>
          <t>Region the business operates in</t>
        </is>
      </c>
      <c r="C11" s="209" t="n"/>
      <c r="D11" s="120" t="inlineStr">
        <is>
          <t>USA</t>
        </is>
      </c>
      <c r="E11" s="261" t="n"/>
      <c r="F11" s="208" t="n"/>
      <c r="G11" s="209" t="n"/>
      <c r="H11" s="112" t="n"/>
      <c r="I11" s="261" t="n"/>
    </row>
    <row r="12" ht="24" customHeight="1" s="215">
      <c r="A12" s="261" t="n"/>
      <c r="B12" s="208" t="inlineStr">
        <is>
          <t>Number of physical locations</t>
        </is>
      </c>
      <c r="C12" s="209" t="n"/>
      <c r="D12" s="111" t="n"/>
      <c r="E12" s="261" t="n"/>
      <c r="F12" s="208" t="n"/>
      <c r="G12" s="209" t="n"/>
      <c r="H12" s="112" t="n"/>
      <c r="I12" s="261" t="n"/>
    </row>
    <row r="13" ht="16" customHeight="1" s="215">
      <c r="A13" s="261" t="n"/>
      <c r="B13" s="226" t="inlineStr">
        <is>
          <t>Notes</t>
        </is>
      </c>
      <c r="C13" s="211" t="n"/>
      <c r="D13" s="209" t="n"/>
      <c r="E13" s="261" t="n"/>
      <c r="F13" s="226" t="inlineStr">
        <is>
          <t>Notes</t>
        </is>
      </c>
      <c r="G13" s="211" t="n"/>
      <c r="H13" s="209" t="n"/>
      <c r="I13" s="261" t="n"/>
    </row>
    <row r="14" ht="38" customHeight="1" s="215">
      <c r="A14" s="261" t="n"/>
      <c r="B14" s="225" t="n"/>
      <c r="C14" s="211" t="n"/>
      <c r="D14" s="209" t="n"/>
      <c r="E14" s="261" t="n"/>
      <c r="F14" s="225" t="inlineStr">
        <is>
          <t>Operating Profit: PAYROLL SALARY ONLY. Do not include dividends, drawings or distributions - those come out of profit that is already counted, and including them inflates the valuation.
Depreciation is only used on the Operating profit path; on the EBITDA path it already sits inside the figure, so do not enter it twice.</t>
        </is>
      </c>
      <c r="G14" s="211" t="n"/>
      <c r="H14" s="209" t="n"/>
      <c r="I14" s="261" t="n"/>
    </row>
    <row r="15">
      <c r="A15" s="261" t="n"/>
      <c r="B15" s="261" t="n"/>
      <c r="C15" s="261" t="n"/>
      <c r="D15" s="261" t="n"/>
      <c r="E15" s="261" t="n"/>
      <c r="F15" s="261" t="n"/>
      <c r="G15" s="261" t="n"/>
      <c r="H15" s="261" t="n"/>
      <c r="I15" s="261" t="n"/>
    </row>
    <row r="16" ht="26" customHeight="1" s="215">
      <c r="A16" s="261" t="n"/>
      <c r="B16" s="219" t="inlineStr">
        <is>
          <t>Earnings for the Value Analysis</t>
        </is>
      </c>
      <c r="C16" s="211" t="n"/>
      <c r="D16" s="209" t="n"/>
      <c r="E16" s="261" t="n"/>
      <c r="F16" s="219" t="inlineStr">
        <is>
          <t>Future State</t>
        </is>
      </c>
      <c r="G16" s="211" t="n"/>
      <c r="H16" s="209" t="n"/>
      <c r="I16" s="261" t="n"/>
    </row>
    <row r="17" ht="24" customHeight="1" s="215">
      <c r="A17" s="261" t="n"/>
      <c r="B17" s="208" t="inlineStr">
        <is>
          <t>Seller's Discretionary Earnings (SDE)</t>
        </is>
      </c>
      <c r="C17" s="209" t="n"/>
      <c r="D17" s="112">
        <f>IF(N($H$7)&lt;&gt;0,N($H$7)+N($H$8)+N($H$9),"")</f>
        <v/>
      </c>
      <c r="E17" s="261" t="n"/>
      <c r="F17" s="221" t="inlineStr">
        <is>
          <t>Owner's desired sale price</t>
        </is>
      </c>
      <c r="G17" s="209" t="n"/>
      <c r="H17" s="113" t="n">
        <v>10000000</v>
      </c>
      <c r="I17" s="261" t="n"/>
    </row>
    <row r="18" ht="24" customHeight="1" s="215">
      <c r="A18" s="261" t="n"/>
      <c r="B18" s="208" t="inlineStr">
        <is>
          <t>Multiple basis - automatic unless you override it</t>
        </is>
      </c>
      <c r="C18" s="209" t="n"/>
      <c r="D18" s="114" t="inlineStr">
        <is>
          <t>Automatic</t>
        </is>
      </c>
      <c r="E18" s="261" t="n"/>
      <c r="F18" s="208" t="inlineStr">
        <is>
          <t>When do you want to sell (answer in months)</t>
        </is>
      </c>
      <c r="G18" s="209" t="n"/>
      <c r="H18" s="115" t="n">
        <v>24</v>
      </c>
      <c r="I18" s="261" t="n"/>
    </row>
    <row r="19" ht="24" customHeight="1" s="215">
      <c r="A19" s="261" t="n"/>
      <c r="B19" s="221" t="inlineStr">
        <is>
          <t>VALUED ON</t>
        </is>
      </c>
      <c r="C19" s="209" t="n"/>
      <c r="D19" s="116">
        <f>IF($D$18="Force SDE","SDE",IF($D$18="Force EBITDA","EBITDA",IF($H$6="Operating profit","SDE","EBITDA")))</f>
        <v/>
      </c>
      <c r="E19" s="261" t="n"/>
      <c r="F19" s="208" t="inlineStr">
        <is>
          <t>What's your ideal exit? E.g. full exit, stay on after sale, minority exit etc.</t>
        </is>
      </c>
      <c r="G19" s="209" t="n"/>
      <c r="H19" s="227" t="n"/>
      <c r="I19" s="261" t="n"/>
    </row>
    <row r="20" ht="24" customHeight="1" s="215">
      <c r="A20" s="261" t="n"/>
      <c r="B20" s="221">
        <f>IF($D$19="SDE",IF(N($D$17)=0,"Earnings the multiple is applied to   -   NO OPERATING PROFIT ENTERED","Earnings the multiple is applied to"),IF(N($H$10)=0,"Earnings the multiple is applied to   -   NO EBITDA ENTERED","Earnings the multiple is applied to"))</f>
        <v/>
      </c>
      <c r="C20" s="209" t="n"/>
      <c r="D20" s="113">
        <f>IF($D$19="SDE",N($D$17),N($H$10))</f>
        <v/>
      </c>
      <c r="E20" s="261" t="n"/>
      <c r="F20" s="208" t="inlineStr">
        <is>
          <t>Why would you like to sell?</t>
        </is>
      </c>
      <c r="G20" s="209" t="n"/>
      <c r="H20" s="227" t="n"/>
      <c r="I20" s="261" t="n"/>
    </row>
    <row r="21" ht="24" customHeight="1" s="215">
      <c r="A21" s="261" t="n"/>
      <c r="B21" s="208">
        <f>IF($D$19="SDE","Operating profit margin","EBITDA margin")</f>
        <v/>
      </c>
      <c r="C21" s="209" t="n"/>
      <c r="D21" s="118">
        <f>IFERROR(IF($D$19="SDE",N($H$7),N($H$10))/N($H$5),"")</f>
        <v/>
      </c>
      <c r="E21" s="261" t="n"/>
      <c r="F21" s="227" t="n"/>
      <c r="G21" s="209" t="n"/>
      <c r="H21" s="227" t="n"/>
      <c r="I21" s="261" t="n"/>
    </row>
    <row r="22" ht="24" customHeight="1" s="215">
      <c r="A22" s="261" t="n"/>
      <c r="B22" s="208" t="inlineStr">
        <is>
          <t>Business margin vs industry margins of sold businesses</t>
        </is>
      </c>
      <c r="C22" s="209" t="n"/>
      <c r="D22" s="111">
        <f>IF(COUNT(INDEX('Industry Data'!$C$14:$G$15,IF($D$19="SDE",14,15)-13,0))&lt;5,"No benchmark loaded",IF($D$21="","Enter revenue and profit",IF($D$21&gt;=INDEX('Industry Data'!$G$14:$G$15,IF($D$19="SDE",14,15)-13),"Top 10%",IF($D$21&gt;=INDEX('Industry Data'!$F$14:$F$15,IF($D$19="SDE",14,15)-13),"Above 75th",IF($D$21&gt;=INDEX('Industry Data'!$E$14:$E$15,IF($D$19="SDE",14,15)-13),"Above median",IF($D$21&gt;=INDEX('Industry Data'!$D$14:$D$15,IF($D$19="SDE",14,15)-13),"Below median","Bottom 25%"))))))</f>
        <v/>
      </c>
      <c r="E22" s="261" t="n"/>
      <c r="F22" s="224" t="n"/>
      <c r="G22" s="209" t="n"/>
      <c r="H22" s="227" t="n"/>
      <c r="I22" s="261" t="n"/>
    </row>
    <row r="23" ht="24" customHeight="1" s="215">
      <c r="A23" s="261" t="n"/>
      <c r="B23" s="208" t="inlineStr">
        <is>
          <t>Benchmark used</t>
        </is>
      </c>
      <c r="C23" s="209" t="n"/>
      <c r="D23" s="111">
        <f>IF(COUNT(INDEX('Industry Data'!$C$14:$G$15,IF($D$19="SDE",14,15)-13,0))&lt;5,"Not loaded","Matched")</f>
        <v/>
      </c>
      <c r="E23" s="261" t="n"/>
      <c r="F23" s="208" t="inlineStr">
        <is>
          <t>Date of this Diagnostic</t>
        </is>
      </c>
      <c r="G23" s="209" t="n"/>
      <c r="H23" s="224" t="inlineStr">
        <is>
          <t>Sept 28 2026</t>
        </is>
      </c>
      <c r="I23" s="261" t="n"/>
    </row>
    <row r="24" ht="24" customHeight="1" s="215">
      <c r="A24" s="261" t="n"/>
      <c r="B24" s="208" t="inlineStr">
        <is>
          <t>Regional Risk Discount</t>
        </is>
      </c>
      <c r="C24" s="209" t="n"/>
      <c r="D24" s="120" t="inlineStr">
        <is>
          <t>Remove</t>
        </is>
      </c>
      <c r="E24" s="261" t="n"/>
      <c r="F24" s="208" t="n"/>
      <c r="G24" s="209" t="n"/>
      <c r="H24" s="224" t="n"/>
      <c r="I24" s="261" t="n"/>
    </row>
    <row r="25" ht="16" customHeight="1" s="215">
      <c r="A25" s="261" t="n"/>
      <c r="B25" s="226" t="inlineStr">
        <is>
          <t>Notes</t>
        </is>
      </c>
      <c r="C25" s="211" t="n"/>
      <c r="D25" s="209" t="n"/>
      <c r="E25" s="261" t="n"/>
      <c r="F25" s="226" t="inlineStr">
        <is>
          <t>Notes</t>
        </is>
      </c>
      <c r="G25" s="211" t="n"/>
      <c r="H25" s="209" t="n"/>
      <c r="I25" s="261" t="n"/>
    </row>
    <row r="26" ht="57" customHeight="1" s="215">
      <c r="A26" s="261" t="n"/>
      <c r="B26" s="225" t="inlineStr">
        <is>
          <t xml:space="preserve">Seller's Discretionary Earnings (SDE) path - used when you enter operating profit. Seller's Discretionary Earnings (SDE) = operating profit + depreciation and amortisation + owner's payroll salary. Not a full recast: discretionary and non-recurring add-backs are excluded.
Earnings Before Interest, Taxes, Depreciation and Amortisation (EBITDA) path - used when you enter Earnings Before Interest, Taxes, Depreciation and Amortisation (EBITDA). The multiple is applied to that figure exactly as entered; depreciation and owner's salary are not added.
</t>
        </is>
      </c>
      <c r="C26" s="211" t="n"/>
      <c r="D26" s="209" t="n"/>
      <c r="E26" s="261" t="n"/>
      <c r="F26" s="225" t="inlineStr">
        <is>
          <t>Growth targets - revenue, margin and multiple - are set on the Value Acceleration tab.</t>
        </is>
      </c>
      <c r="G26" s="211" t="n"/>
      <c r="H26" s="209" t="n"/>
      <c r="I26" s="261" t="n"/>
    </row>
  </sheetData>
  <mergeCells count="45">
    <mergeCell ref="F11:G11"/>
    <mergeCell ref="B14:D14"/>
    <mergeCell ref="B7:C7"/>
    <mergeCell ref="F10:G10"/>
    <mergeCell ref="F19:G19"/>
    <mergeCell ref="B13:D13"/>
    <mergeCell ref="F26:H26"/>
    <mergeCell ref="B22:C22"/>
    <mergeCell ref="F6:G6"/>
    <mergeCell ref="B18:C18"/>
    <mergeCell ref="F7:G7"/>
    <mergeCell ref="B12:C12"/>
    <mergeCell ref="F21:G21"/>
    <mergeCell ref="B21:C21"/>
    <mergeCell ref="F12:G12"/>
    <mergeCell ref="F24:G24"/>
    <mergeCell ref="B11:C11"/>
    <mergeCell ref="F13:H13"/>
    <mergeCell ref="F5:G5"/>
    <mergeCell ref="F20:G20"/>
    <mergeCell ref="F18:G18"/>
    <mergeCell ref="B23:C23"/>
    <mergeCell ref="B17:C17"/>
    <mergeCell ref="B8:C8"/>
    <mergeCell ref="F17:G17"/>
    <mergeCell ref="F8:G8"/>
    <mergeCell ref="F14:H14"/>
    <mergeCell ref="B19:C19"/>
    <mergeCell ref="B4:D4"/>
    <mergeCell ref="F23:G23"/>
    <mergeCell ref="B26:D26"/>
    <mergeCell ref="B10:C10"/>
    <mergeCell ref="B2:H2"/>
    <mergeCell ref="F4:H4"/>
    <mergeCell ref="F22:G22"/>
    <mergeCell ref="B9:C9"/>
    <mergeCell ref="B25:D25"/>
    <mergeCell ref="B16:D16"/>
    <mergeCell ref="F9:G9"/>
    <mergeCell ref="F25:H25"/>
    <mergeCell ref="B6:C6"/>
    <mergeCell ref="B24:C24"/>
    <mergeCell ref="F16:H16"/>
    <mergeCell ref="B5:C5"/>
    <mergeCell ref="B20:C20"/>
  </mergeCells>
  <conditionalFormatting sqref="B15:D15">
    <cfRule type="expression" priority="3" dxfId="0">
      <formula>$H$6="EBITDA"</formula>
    </cfRule>
  </conditionalFormatting>
  <conditionalFormatting sqref="F7:H9">
    <cfRule type="expression" priority="1" dxfId="0">
      <formula>$H$6="EBITDA"</formula>
    </cfRule>
  </conditionalFormatting>
  <conditionalFormatting sqref="F10:H10">
    <cfRule type="expression" priority="2" dxfId="0">
      <formula>$H$6="Operating profit"</formula>
    </cfRule>
  </conditionalFormatting>
  <dataValidations count="4">
    <dataValidation sqref="H6" showDropDown="0" showInputMessage="0" showErrorMessage="0" allowBlank="0" type="list">
      <formula1>"Operating profit,EBITDA"</formula1>
    </dataValidation>
    <dataValidation sqref="D11" showDropDown="0" showInputMessage="0" showErrorMessage="0" allowBlank="0" type="list">
      <formula1>"USA,Developed World,Developing World"</formula1>
    </dataValidation>
    <dataValidation sqref="D24" showDropDown="0" showInputMessage="0" showErrorMessage="0" allowBlank="0" type="list">
      <formula1>"Apply,Remove"</formula1>
    </dataValidation>
    <dataValidation sqref="D18" showDropDown="0" showInputMessage="0" showErrorMessage="0" allowBlank="0" type="list">
      <formula1>"Automatic,Force SDE,Force EBITDA"</formula1>
    </dataValidation>
  </dataValidations>
  <pageMargins left="0.75" right="0.75" top="1" bottom="1" header="0.5" footer="0.5"/>
  <pageSetup orientation="landscape" fitToHeight="0"/>
  <legacyDrawing xmlns:r="http://schemas.openxmlformats.org/officeDocument/2006/relationships" r:id="anysvml"/>
</worksheet>
</file>

<file path=xl/worksheets/sheet2.xml><?xml version="1.0" encoding="utf-8"?>
<worksheet xmlns="http://schemas.openxmlformats.org/spreadsheetml/2006/main">
  <sheetPr codeName="Sheet2">
    <outlinePr summaryBelow="1" summaryRight="1"/>
    <pageSetUpPr/>
  </sheetPr>
  <dimension ref="A1:AE178"/>
  <sheetViews>
    <sheetView zoomScale="139" workbookViewId="0">
      <pane ySplit="1" topLeftCell="A33" activePane="bottomLeft" state="frozen"/>
      <selection activeCell="C16" sqref="C16"/>
      <selection pane="bottomLeft" activeCell="F35" sqref="F35"/>
    </sheetView>
  </sheetViews>
  <sheetFormatPr baseColWidth="10" defaultColWidth="9" defaultRowHeight="14"/>
  <cols>
    <col width="83.59765625" customWidth="1" style="215" min="1" max="1"/>
    <col width="26" customWidth="1" style="215" min="2" max="2"/>
    <col width="8" customWidth="1" style="215" min="3" max="3"/>
    <col hidden="1" width="8.3984375" customWidth="1" style="215" min="4" max="4"/>
    <col width="2" customWidth="1" style="215" min="5" max="5"/>
    <col width="26" customWidth="1" style="215" min="6" max="6"/>
    <col width="8" customWidth="1" style="215" min="7" max="7"/>
    <col width="34.59765625" customWidth="1" style="215" min="8" max="8"/>
    <col width="70" customWidth="1" style="215" min="9" max="9"/>
    <col hidden="1" width="13" customWidth="1" style="215" min="10" max="18"/>
    <col width="2" customWidth="1" style="215" min="19" max="22"/>
    <col hidden="1" width="13" customWidth="1" style="215" min="23" max="23"/>
    <col hidden="1" width="13" customWidth="1" style="215" min="26" max="26"/>
    <col hidden="1" width="11" customWidth="1" style="215" min="27" max="29"/>
    <col hidden="1" width="13" customWidth="1" style="215" min="30" max="31"/>
  </cols>
  <sheetData>
    <row r="1" ht="45" customHeight="1" s="215">
      <c r="A1" s="1" t="inlineStr">
        <is>
          <t>Value Drivers</t>
        </is>
      </c>
      <c r="B1" s="3" t="inlineStr">
        <is>
          <t>Current State</t>
        </is>
      </c>
      <c r="C1" s="3" t="inlineStr">
        <is>
          <t>Score</t>
        </is>
      </c>
      <c r="D1" s="3" t="inlineStr">
        <is>
          <t>Total Possible Score</t>
        </is>
      </c>
      <c r="E1" s="3" t="n"/>
      <c r="F1" s="3" t="inlineStr">
        <is>
          <t>Potential Future State</t>
        </is>
      </c>
      <c r="G1" s="3" t="inlineStr">
        <is>
          <t>Future score</t>
        </is>
      </c>
      <c r="H1" s="3" t="inlineStr">
        <is>
          <t>Company Notes</t>
        </is>
      </c>
      <c r="I1" s="3" t="inlineStr">
        <is>
          <t>Description</t>
        </is>
      </c>
      <c r="Z1" t="inlineStr">
        <is>
          <t>Deal-killer haircut</t>
        </is>
      </c>
      <c r="AA1" s="261" t="inlineStr">
        <is>
          <t>SV147</t>
        </is>
      </c>
      <c r="AB1" s="261" t="inlineStr">
        <is>
          <t>Management runs day-to-day (owner could step away)</t>
        </is>
      </c>
      <c r="AC1" s="261" t="n">
        <v>4</v>
      </c>
      <c r="AD1" t="inlineStr">
        <is>
          <t>Retained now</t>
        </is>
      </c>
      <c r="AE1" t="inlineStr">
        <is>
          <t>Retained future</t>
        </is>
      </c>
    </row>
    <row r="2" ht="23" customHeight="1" s="215">
      <c r="B2" s="228" t="n"/>
      <c r="AA2" s="261" t="inlineStr">
        <is>
          <t>SV147</t>
        </is>
      </c>
      <c r="AB2" s="261" t="inlineStr">
        <is>
          <t>Team handles most (owner needed for big calls)</t>
        </is>
      </c>
      <c r="AC2" s="261" t="n">
        <v>3</v>
      </c>
    </row>
    <row r="3" ht="30" customHeight="1" s="215">
      <c r="A3" s="2" t="inlineStr">
        <is>
          <t>Owner Independence</t>
        </is>
      </c>
      <c r="B3" s="3" t="n"/>
      <c r="C3" s="3" t="n"/>
      <c r="D3" s="3" t="n"/>
      <c r="F3" s="3" t="n"/>
      <c r="G3" s="3" t="n"/>
      <c r="H3" s="3" t="n"/>
      <c r="I3" s="3" t="n"/>
      <c r="AA3" s="261" t="inlineStr">
        <is>
          <t>SV147</t>
        </is>
      </c>
      <c r="AB3" s="261" t="inlineStr">
        <is>
          <t>Owner needed for most decisions</t>
        </is>
      </c>
      <c r="AC3" s="261" t="n">
        <v>2</v>
      </c>
    </row>
    <row r="4" ht="30" customHeight="1" s="215">
      <c r="A4" s="4" t="inlineStr">
        <is>
          <t>What are the employees ability to execute without owner? Is the owner heavily involved in delivery?</t>
        </is>
      </c>
      <c r="B4" s="48" t="inlineStr">
        <is>
          <t>Completely owner dependent</t>
        </is>
      </c>
      <c r="C4">
        <f>IFERROR(SUMIFS($AC:$AC,$AA:$AA,$K4,$AB:$AB,$B4),0)</f>
        <v/>
      </c>
      <c r="D4" t="n">
        <v>4</v>
      </c>
      <c r="E4" s="30" t="n"/>
      <c r="F4" s="48" t="inlineStr">
        <is>
          <t>Management runs day-to-day (owner could step away)</t>
        </is>
      </c>
      <c r="G4">
        <f>IF($F4="","",IFERROR(SUMIFS($AC:$AC,$AA:$AA,$K4,$AB:$AB,$F4),0))</f>
        <v/>
      </c>
      <c r="H4" s="4" t="n"/>
      <c r="I4" s="4" t="inlineStr">
        <is>
          <t>When a small business heavily relies on the owner’s direct involvement, such as handling day-to-day operations, key relationships, or strategic decisions to keep running smoothly or at all.</t>
        </is>
      </c>
      <c r="K4" t="inlineStr">
        <is>
          <t>SV147</t>
        </is>
      </c>
      <c r="L4" t="inlineStr">
        <is>
          <t>GATE</t>
        </is>
      </c>
      <c r="M4">
        <f>IF(OR($B4="",$B4="N/A",COUNTIFS($AA:$AA,$K4,$AB:$AB,$B4)=0),0,IF(AND($L4="GATE",$C4&lt;=$R4),1,0))</f>
        <v/>
      </c>
      <c r="N4">
        <f>IF($F4="",$M4,IF(OR($F4="N/A",COUNTIFS($AA:$AA,$K4,$AB:$AB,$F4)=0),0,IF(AND($L4="GATE",$G4&lt;=$R4),1,0)))</f>
        <v/>
      </c>
      <c r="O4">
        <f>IF(OR($B4="",$B4="N/A",COUNTIFS($AA:$AA,$K4,$AB:$AB,$B4)=0),"",IFERROR(1+4*($C4-$R4)/($D4-$R4),""))</f>
        <v/>
      </c>
      <c r="P4">
        <f>IF($F4="",$O4,IF(OR($F4="N/A",COUNTIFS($AA:$AA,$K4,$AB:$AB,$F4)=0),"",IFERROR(1+4*($G4-$R4)/($D4-$R4),"")))</f>
        <v/>
      </c>
      <c r="Q4" t="inlineStr">
        <is>
          <t>Owner independence</t>
        </is>
      </c>
      <c r="R4" t="n">
        <v>1</v>
      </c>
      <c r="W4">
        <f>IF(AND($B4&lt;&gt;"",COUNTIFS($AA:$AA,$K4,$AB:$AB,$B4)=0),1,0)+IF(AND($F4&lt;&gt;"",COUNTIFS($AA:$AA,$K4,$AB:$AB,$F4)=0),1,0)</f>
        <v/>
      </c>
      <c r="Y4" t="inlineStr">
        <is>
          <t>SV147|Management runs day-to-day (owner could step away)</t>
        </is>
      </c>
      <c r="Z4" t="n">
        <v>0.25</v>
      </c>
      <c r="AA4" s="261" t="inlineStr">
        <is>
          <t>SV147</t>
        </is>
      </c>
      <c r="AB4" s="261" t="inlineStr">
        <is>
          <t>Completely owner dependent</t>
        </is>
      </c>
      <c r="AC4" s="261" t="n">
        <v>1</v>
      </c>
      <c r="AD4">
        <f>IF($K4="","",IF($M4=1,1-N($Z4),1))</f>
        <v/>
      </c>
      <c r="AE4">
        <f>IF($K4="","",IF($N4=1,1-N($Z4),1))</f>
        <v/>
      </c>
    </row>
    <row r="5" ht="30" customHeight="1" s="215">
      <c r="A5" s="4" t="inlineStr">
        <is>
          <t>How dependent are sales on the owner rather than on the company as a whole and its team?</t>
        </is>
      </c>
      <c r="B5" s="48" t="inlineStr">
        <is>
          <t>Low</t>
        </is>
      </c>
      <c r="C5">
        <f>IFERROR(SUMIFS($AC:$AC,$AA:$AA,$K5,$AB:$AB,$B5),0)</f>
        <v/>
      </c>
      <c r="D5" t="n">
        <v>3</v>
      </c>
      <c r="E5" s="30" t="n"/>
      <c r="F5" s="48" t="inlineStr">
        <is>
          <t>Low</t>
        </is>
      </c>
      <c r="G5">
        <f>IF($F5="","",IFERROR(SUMIFS($AC:$AC,$AA:$AA,$K5,$AB:$AB,$F5),0))</f>
        <v/>
      </c>
      <c r="H5" s="4" t="n"/>
      <c r="I5" s="4" t="inlineStr">
        <is>
          <t>A buyer is paying for revenue they can keep. If the pitching and closing run through you, they are buying a job with your name on it. Low: the pipeline holds without you. High: revenue depends on you being in the room.</t>
        </is>
      </c>
      <c r="K5" t="inlineStr">
        <is>
          <t>Q5</t>
        </is>
      </c>
      <c r="L5" t="inlineStr">
        <is>
          <t>GATE</t>
        </is>
      </c>
      <c r="M5">
        <f>IF(OR($B5="",$B5="N/A",COUNTIFS($AA:$AA,$K5,$AB:$AB,$B5)=0),0,IF(AND($L5="GATE",$C5&lt;=$R5),1,0))</f>
        <v/>
      </c>
      <c r="N5">
        <f>IF($F5="",$M5,IF(OR($F5="N/A",COUNTIFS($AA:$AA,$K5,$AB:$AB,$F5)=0),0,IF(AND($L5="GATE",$G5&lt;=$R5),1,0)))</f>
        <v/>
      </c>
      <c r="O5">
        <f>IF(OR($B5="",$B5="N/A",COUNTIFS($AA:$AA,$K5,$AB:$AB,$B5)=0),"",IFERROR(1+4*($C5-$R5)/($D5-$R5),""))</f>
        <v/>
      </c>
      <c r="P5">
        <f>IF($F5="",$O5,IF(OR($F5="N/A",COUNTIFS($AA:$AA,$K5,$AB:$AB,$F5)=0),"",IFERROR(1+4*($G5-$R5)/($D5-$R5),"")))</f>
        <v/>
      </c>
      <c r="Q5" t="inlineStr">
        <is>
          <t>Owner independence</t>
        </is>
      </c>
      <c r="R5" t="n">
        <v>1</v>
      </c>
      <c r="W5">
        <f>IF(AND($B5&lt;&gt;"",COUNTIFS($AA:$AA,$K5,$AB:$AB,$B5)=0),1,0)+IF(AND($F5&lt;&gt;"",COUNTIFS($AA:$AA,$K5,$AB:$AB,$F5)=0),1,0)</f>
        <v/>
      </c>
      <c r="Y5" t="inlineStr">
        <is>
          <t>Q5|Low</t>
        </is>
      </c>
      <c r="Z5" t="n">
        <v>0.22</v>
      </c>
      <c r="AA5" s="261" t="inlineStr">
        <is>
          <t>SV147</t>
        </is>
      </c>
      <c r="AB5" s="261" t="inlineStr">
        <is>
          <t>N/A</t>
        </is>
      </c>
      <c r="AC5" s="261" t="n">
        <v>0</v>
      </c>
      <c r="AD5">
        <f>IF($K5="","",IF($M5=1,1-N($Z5),1))</f>
        <v/>
      </c>
      <c r="AE5">
        <f>IF($K5="","",IF($N5=1,1-N($Z5),1))</f>
        <v/>
      </c>
    </row>
    <row r="6" ht="30" customHeight="1" s="215">
      <c r="A6" s="4" t="inlineStr">
        <is>
          <t xml:space="preserve">When a new customer signs, who closed them - and own the relationships in the company? Owner vs. spread out across the team? </t>
        </is>
      </c>
      <c r="B6" s="48" t="inlineStr">
        <is>
          <t>Owner closes most, relationships shared with team</t>
        </is>
      </c>
      <c r="C6">
        <f>IFERROR(SUMIFS($AC:$AC,$AA:$AA,$K6,$AB:$AB,$B6),0)</f>
        <v/>
      </c>
      <c r="D6" t="n">
        <v>4</v>
      </c>
      <c r="E6" s="30" t="n"/>
      <c r="F6" s="48" t="inlineStr">
        <is>
          <t>Account managers close and relationships held by company</t>
        </is>
      </c>
      <c r="G6">
        <f>IF($F6="","",IFERROR(SUMIFS($AC:$AC,$AA:$AA,$K6,$AB:$AB,$F6),0))</f>
        <v/>
      </c>
      <c r="H6" s="4" t="n"/>
      <c r="I6" s="4" t="inlineStr">
        <is>
          <t>The other half of owner dependence - winning the work rather than running the business. Relationships held personally by the seller usually leave with the seller. Best case is a sales team closing, with the relationships in the company's name.</t>
        </is>
      </c>
      <c r="K6" t="inlineStr">
        <is>
          <t>N2</t>
        </is>
      </c>
      <c r="L6" t="inlineStr">
        <is>
          <t>GATE</t>
        </is>
      </c>
      <c r="M6">
        <f>IF(OR($B6="",$B6="N/A",COUNTIFS($AA:$AA,$K6,$AB:$AB,$B6)=0),0,IF(AND($L6="GATE",$C6&lt;=$R6),1,0))</f>
        <v/>
      </c>
      <c r="N6">
        <f>IF($F6="",$M6,IF(OR($F6="N/A",COUNTIFS($AA:$AA,$K6,$AB:$AB,$F6)=0),0,IF(AND($L6="GATE",$G6&lt;=$R6),1,0)))</f>
        <v/>
      </c>
      <c r="O6">
        <f>IF(OR($B6="",$B6="N/A",COUNTIFS($AA:$AA,$K6,$AB:$AB,$B6)=0),"",IFERROR(1+4*($C6-$R6)/($D6-$R6),""))</f>
        <v/>
      </c>
      <c r="P6">
        <f>IF($F6="",$O6,IF(OR($F6="N/A",COUNTIFS($AA:$AA,$K6,$AB:$AB,$F6)=0),"",IFERROR(1+4*($G6-$R6)/($D6-$R6),"")))</f>
        <v/>
      </c>
      <c r="Q6" t="inlineStr">
        <is>
          <t>Owner independence</t>
        </is>
      </c>
      <c r="R6" t="n">
        <v>1</v>
      </c>
      <c r="W6">
        <f>IF(AND($B6&lt;&gt;"",COUNTIFS($AA:$AA,$K6,$AB:$AB,$B6)=0),1,0)+IF(AND($F6&lt;&gt;"",COUNTIFS($AA:$AA,$K6,$AB:$AB,$F6)=0),1,0)</f>
        <v/>
      </c>
      <c r="Y6" t="inlineStr">
        <is>
          <t>N2|Account managers close and relationships held by company</t>
        </is>
      </c>
      <c r="Z6" t="n">
        <v>0.22</v>
      </c>
      <c r="AA6" s="261" t="inlineStr">
        <is>
          <t>Q5</t>
        </is>
      </c>
      <c r="AB6" s="261" t="inlineStr">
        <is>
          <t>Low</t>
        </is>
      </c>
      <c r="AC6" s="261" t="n">
        <v>3</v>
      </c>
      <c r="AD6">
        <f>IF($K6="","",IF($M6=1,1-N($Z6),1))</f>
        <v/>
      </c>
      <c r="AE6">
        <f>IF($K6="","",IF($N6=1,1-N($Z6),1))</f>
        <v/>
      </c>
    </row>
    <row r="7" ht="30" customHeight="1" s="215">
      <c r="A7" s="4" t="inlineStr">
        <is>
          <t xml:space="preserve">What does the corporate structure and ownership look like? </t>
        </is>
      </c>
      <c r="B7" s="48" t="inlineStr">
        <is>
          <t>Unsure</t>
        </is>
      </c>
      <c r="C7">
        <f>IFERROR(SUMIFS($AC:$AC,$AA:$AA,$K7,$AB:$AB,$B7),0)</f>
        <v/>
      </c>
      <c r="D7" t="n">
        <v>6</v>
      </c>
      <c r="E7" s="30" t="n"/>
      <c r="F7" s="48" t="inlineStr">
        <is>
          <t>Multiple owners, not all committed to selling</t>
        </is>
      </c>
      <c r="G7">
        <f>IF($F7="","",IFERROR(SUMIFS($AC:$AC,$AA:$AA,$K7,$AB:$AB,$F7),0))</f>
        <v/>
      </c>
      <c r="H7" s="4" t="n"/>
      <c r="I7" s="4" t="inlineStr">
        <is>
          <t>Entity type, jurisdiction, and cap table: Are there minority holders, drag‑along rights, or unusual shareholder agreements? Seller authority: Does the seller have the legal right to transfer 100% of the business/assets?</t>
        </is>
      </c>
      <c r="K7" t="inlineStr">
        <is>
          <t>R9</t>
        </is>
      </c>
      <c r="L7" t="inlineStr">
        <is>
          <t>GATE</t>
        </is>
      </c>
      <c r="M7">
        <f>IF(OR($B7="",$B7="N/A",COUNTIFS($AA:$AA,$K7,$AB:$AB,$B7)=0),0,IF(AND($L7="GATE",$C7&lt;=$R7),1,0))</f>
        <v/>
      </c>
      <c r="N7">
        <f>IF($F7="",$M7,IF(OR($F7="N/A",COUNTIFS($AA:$AA,$K7,$AB:$AB,$F7)=0),0,IF(AND($L7="GATE",$G7&lt;=$R7),1,0)))</f>
        <v/>
      </c>
      <c r="O7">
        <f>IF(OR($B7="",$B7="N/A",COUNTIFS($AA:$AA,$K7,$AB:$AB,$B7)=0),"",IFERROR(1+4*($C7-$R7)/($D7-$R7),""))</f>
        <v/>
      </c>
      <c r="P7">
        <f>IF($F7="",$O7,IF(OR($F7="N/A",COUNTIFS($AA:$AA,$K7,$AB:$AB,$F7)=0),"",IFERROR(1+4*($G7-$R7)/($D7-$R7),"")))</f>
        <v/>
      </c>
      <c r="Q7" t="inlineStr">
        <is>
          <t>Owner independence</t>
        </is>
      </c>
      <c r="R7" t="n">
        <v>1</v>
      </c>
      <c r="W7">
        <f>IF(AND($B7&lt;&gt;"",COUNTIFS($AA:$AA,$K7,$AB:$AB,$B7)=0),1,0)+IF(AND($F7&lt;&gt;"",COUNTIFS($AA:$AA,$K7,$AB:$AB,$F7)=0),1,0)</f>
        <v/>
      </c>
      <c r="Y7" t="inlineStr">
        <is>
          <t>R9|Multiple owners, not all committed to selling</t>
        </is>
      </c>
      <c r="Z7" t="n">
        <v>0.15</v>
      </c>
      <c r="AA7" s="261" t="inlineStr">
        <is>
          <t>Q5</t>
        </is>
      </c>
      <c r="AB7" s="261" t="inlineStr">
        <is>
          <t>Moderate</t>
        </is>
      </c>
      <c r="AC7" s="261" t="n">
        <v>2</v>
      </c>
      <c r="AD7">
        <f>IF($K7="","",IF($M7=1,1-N($Z7),1))</f>
        <v/>
      </c>
      <c r="AE7">
        <f>IF($K7="","",IF($N7=1,1-N($Z7),1))</f>
        <v/>
      </c>
    </row>
    <row r="8" ht="30" customHeight="1" s="215">
      <c r="AA8" s="261" t="inlineStr">
        <is>
          <t>Q5</t>
        </is>
      </c>
      <c r="AB8" s="261" t="inlineStr">
        <is>
          <t>High</t>
        </is>
      </c>
      <c r="AC8" s="261" t="n">
        <v>1</v>
      </c>
    </row>
    <row r="9" ht="30" customHeight="1" s="215">
      <c r="A9" s="2" t="inlineStr">
        <is>
          <t>Financial Quality &amp; Revenue Model</t>
        </is>
      </c>
      <c r="B9" s="3" t="n"/>
      <c r="C9" s="3" t="n"/>
      <c r="D9" s="3" t="n"/>
      <c r="F9" s="3" t="n"/>
      <c r="G9" s="3" t="n"/>
      <c r="H9" s="3" t="n"/>
      <c r="I9" s="3" t="n"/>
      <c r="AA9" s="261" t="inlineStr">
        <is>
          <t>Q5</t>
        </is>
      </c>
      <c r="AB9" s="261" t="inlineStr">
        <is>
          <t>N/A</t>
        </is>
      </c>
      <c r="AC9" s="261" t="n">
        <v>0</v>
      </c>
    </row>
    <row r="10" ht="30" customHeight="1" s="215">
      <c r="A10" s="4" t="inlineStr">
        <is>
          <t>What are the financial statements reporting quality?</t>
        </is>
      </c>
      <c r="B10" s="48" t="inlineStr">
        <is>
          <t>CPA compiled</t>
        </is>
      </c>
      <c r="C10">
        <f>IFERROR(SUMIFS($AC:$AC,$AA:$AA,$K10,$AB:$AB,$B10),0)</f>
        <v/>
      </c>
      <c r="D10" t="n">
        <v>6</v>
      </c>
      <c r="E10" s="30" t="n"/>
      <c r="F10" s="48" t="inlineStr">
        <is>
          <t>Fully audited</t>
        </is>
      </c>
      <c r="G10">
        <f>IF($F10="","",IFERROR(SUMIFS($AC:$AC,$AA:$AA,$K10,$AB:$AB,$F10),0))</f>
        <v/>
      </c>
      <c r="H10" s="4" t="n"/>
      <c r="I10" s="4" t="inlineStr">
        <is>
          <t>Businesses &lt;1M Compilation ok, &gt;1M should have Reviewed &gt;5M should have Audited. Likely unbankable under reviewed without QoE.</t>
        </is>
      </c>
      <c r="K10" t="inlineStr">
        <is>
          <t>SV4</t>
        </is>
      </c>
      <c r="L10" t="inlineStr">
        <is>
          <t>GATE</t>
        </is>
      </c>
      <c r="M10">
        <f>IF(OR($B10="",$B10="N/A",COUNTIFS($AA:$AA,$K10,$AB:$AB,$B10)=0),0,IF(AND($L10="GATE",$C10&lt;=$R10),1,0))</f>
        <v/>
      </c>
      <c r="N10">
        <f>IF($F10="",$M10,IF(OR($F10="N/A",COUNTIFS($AA:$AA,$K10,$AB:$AB,$F10)=0),0,IF(AND($L10="GATE",$G10&lt;=$R10),1,0)))</f>
        <v/>
      </c>
      <c r="O10">
        <f>IF(OR($B10="",$B10="N/A",COUNTIFS($AA:$AA,$K10,$AB:$AB,$B10)=0),"",IFERROR(1+4*($C10-$R10)/($D10-$R10),""))</f>
        <v/>
      </c>
      <c r="P10">
        <f>IF($F10="",$O10,IF(OR($F10="N/A",COUNTIFS($AA:$AA,$K10,$AB:$AB,$F10)=0),"",IFERROR(1+4*($G10-$R10)/($D10-$R10),"")))</f>
        <v/>
      </c>
      <c r="Q10" t="inlineStr">
        <is>
          <t>Financial Quality &amp; Revenue Model</t>
        </is>
      </c>
      <c r="R10" t="n">
        <v>1</v>
      </c>
      <c r="W10">
        <f>IF(AND($B10&lt;&gt;"",COUNTIFS($AA:$AA,$K10,$AB:$AB,$B10)=0),1,0)+IF(AND($F10&lt;&gt;"",COUNTIFS($AA:$AA,$K10,$AB:$AB,$F10)=0),1,0)</f>
        <v/>
      </c>
      <c r="Y10" t="inlineStr">
        <is>
          <t>SV4|Fully audited</t>
        </is>
      </c>
      <c r="Z10" t="n">
        <v>0.15</v>
      </c>
      <c r="AA10" s="261" t="inlineStr">
        <is>
          <t>N2</t>
        </is>
      </c>
      <c r="AB10" s="261" t="inlineStr">
        <is>
          <t>Account managers close and relationships held by company</t>
        </is>
      </c>
      <c r="AC10" s="261" t="n">
        <v>4</v>
      </c>
      <c r="AD10">
        <f>IF($K10="","",IF($M10=1,1-N($Z10),1))</f>
        <v/>
      </c>
      <c r="AE10">
        <f>IF($K10="","",IF($N10=1,1-N($Z10),1))</f>
        <v/>
      </c>
    </row>
    <row r="11" ht="30" customHeight="1" s="215">
      <c r="A11" s="4" t="inlineStr">
        <is>
          <t>Do your profit and loss statement, your tax return, and your bank deposits reconcile to each other?</t>
        </is>
      </c>
      <c r="B11" s="48" t="inlineStr">
        <is>
          <t>Profit and loss and tax return match, deposits not checked</t>
        </is>
      </c>
      <c r="C11">
        <f>IFERROR(SUMIFS($AC:$AC,$AA:$AA,$K11,$AB:$AB,$B11),0)</f>
        <v/>
      </c>
      <c r="D11" t="n">
        <v>4</v>
      </c>
      <c r="E11" s="30" t="n"/>
      <c r="F11" s="48" t="inlineStr">
        <is>
          <t>All three reconcile and checked externally</t>
        </is>
      </c>
      <c r="G11">
        <f>IF($F11="","",IFERROR(SUMIFS($AC:$AC,$AA:$AA,$K11,$AB:$AB,$F11),0))</f>
        <v/>
      </c>
      <c r="H11" s="4" t="n"/>
      <c r="I11" s="4" t="inlineStr">
        <is>
          <t>Reporting quality asks who prepared the numbers. This asks whether they are true. In diligence a buyer ties the profit and loss statement to the tax return and to the bank. Unexplained gaps are where deals get repriced or die.</t>
        </is>
      </c>
      <c r="K11" t="inlineStr">
        <is>
          <t>N3</t>
        </is>
      </c>
      <c r="L11" t="inlineStr">
        <is>
          <t>GATE</t>
        </is>
      </c>
      <c r="M11">
        <f>IF(OR($B11="",$B11="N/A",COUNTIFS($AA:$AA,$K11,$AB:$AB,$B11)=0),0,IF(AND($L11="GATE",$C11&lt;=$R11),1,0))</f>
        <v/>
      </c>
      <c r="N11">
        <f>IF($F11="",$M11,IF(OR($F11="N/A",COUNTIFS($AA:$AA,$K11,$AB:$AB,$F11)=0),0,IF(AND($L11="GATE",$G11&lt;=$R11),1,0)))</f>
        <v/>
      </c>
      <c r="O11">
        <f>IF(OR($B11="",$B11="N/A",COUNTIFS($AA:$AA,$K11,$AB:$AB,$B11)=0),"",IFERROR(1+4*($C11-$R11)/($D11-$R11),""))</f>
        <v/>
      </c>
      <c r="P11">
        <f>IF($F11="",$O11,IF(OR($F11="N/A",COUNTIFS($AA:$AA,$K11,$AB:$AB,$F11)=0),"",IFERROR(1+4*($G11-$R11)/($D11-$R11),"")))</f>
        <v/>
      </c>
      <c r="Q11" t="inlineStr">
        <is>
          <t>Financial Quality &amp; Revenue Model</t>
        </is>
      </c>
      <c r="R11" t="n">
        <v>1</v>
      </c>
      <c r="W11">
        <f>IF(AND($B11&lt;&gt;"",COUNTIFS($AA:$AA,$K11,$AB:$AB,$B11)=0),1,0)+IF(AND($F11&lt;&gt;"",COUNTIFS($AA:$AA,$K11,$AB:$AB,$F11)=0),1,0)</f>
        <v/>
      </c>
      <c r="Y11" t="inlineStr">
        <is>
          <t>N3|All three reconcile and checked externally</t>
        </is>
      </c>
      <c r="Z11" t="n">
        <v>0.12</v>
      </c>
      <c r="AA11" s="261" t="inlineStr">
        <is>
          <t>N2</t>
        </is>
      </c>
      <c r="AB11" s="261" t="inlineStr">
        <is>
          <t>Team closes most, owner on key accounts only</t>
        </is>
      </c>
      <c r="AC11" s="261" t="n">
        <v>3</v>
      </c>
      <c r="AD11">
        <f>IF($K11="","",IF($M11=1,1-N($Z11),1))</f>
        <v/>
      </c>
      <c r="AE11">
        <f>IF($K11="","",IF($N11=1,1-N($Z11),1))</f>
        <v/>
      </c>
    </row>
    <row r="12" ht="30" customHeight="1" s="215">
      <c r="A12" s="4" t="inlineStr">
        <is>
          <t xml:space="preserve">What is the revenue model? </t>
        </is>
      </c>
      <c r="B12" s="48" t="inlineStr">
        <is>
          <t>Contractual revenue</t>
        </is>
      </c>
      <c r="C12">
        <f>IFERROR(SUMIFS($AC:$AC,$AA:$AA,$K12,$AB:$AB,$B12),0)</f>
        <v/>
      </c>
      <c r="D12" t="n">
        <v>6</v>
      </c>
      <c r="E12" s="30" t="n"/>
      <c r="F12" s="48" t="inlineStr">
        <is>
          <t>Contracted recurring revenue</t>
        </is>
      </c>
      <c r="G12">
        <f>IF($F12="","",IFERROR(SUMIFS($AC:$AC,$AA:$AA,$K12,$AB:$AB,$F12),0))</f>
        <v/>
      </c>
      <c r="H12" s="4" t="n"/>
      <c r="I12" s="4" t="inlineStr">
        <is>
          <t>Buyers highly value revenue that's garantueed or very likely to continue over time. One-time purchases or low probability of repeat is much less valuable. Repeat revenue - clients buy several times but not regularly. Scheduled repeat - eg pool maintenance. Contracted revenue - guaranteed because of the contract eg government contracts. Recurring revenue - not contracted but payments come every month eg netflix (can cancel at any time). Contracted recurring revenue - here what you are selling are the contracts eg banks mortgages.</t>
        </is>
      </c>
      <c r="K12" t="inlineStr">
        <is>
          <t>SV35</t>
        </is>
      </c>
      <c r="M12">
        <f>IF(OR($B12="",$B12="N/A",COUNTIFS($AA:$AA,$K12,$AB:$AB,$B12)=0),0,IF(AND($L12="GATE",$C12&lt;=$R12),1,0))</f>
        <v/>
      </c>
      <c r="N12">
        <f>IF($F12="",$M12,IF(OR($F12="N/A",COUNTIFS($AA:$AA,$K12,$AB:$AB,$F12)=0),0,IF(AND($L12="GATE",$G12&lt;=$R12),1,0)))</f>
        <v/>
      </c>
      <c r="O12">
        <f>IF(OR($B12="",$B12="N/A",COUNTIFS($AA:$AA,$K12,$AB:$AB,$B12)=0),"",IFERROR(1+4*($C12-$R12)/($D12-$R12),""))</f>
        <v/>
      </c>
      <c r="P12">
        <f>IF($F12="",$O12,IF(OR($F12="N/A",COUNTIFS($AA:$AA,$K12,$AB:$AB,$F12)=0),"",IFERROR(1+4*($G12-$R12)/($D12-$R12),"")))</f>
        <v/>
      </c>
      <c r="Q12" t="inlineStr">
        <is>
          <t>Financial Quality &amp; Revenue Model</t>
        </is>
      </c>
      <c r="R12" t="n">
        <v>1</v>
      </c>
      <c r="W12">
        <f>IF(AND($B12&lt;&gt;"",COUNTIFS($AA:$AA,$K12,$AB:$AB,$B12)=0),1,0)+IF(AND($F12&lt;&gt;"",COUNTIFS($AA:$AA,$K12,$AB:$AB,$F12)=0),1,0)</f>
        <v/>
      </c>
      <c r="Y12" t="inlineStr">
        <is>
          <t>SV35|Contracted recurring revenue</t>
        </is>
      </c>
      <c r="AA12" s="261" t="inlineStr">
        <is>
          <t>N2</t>
        </is>
      </c>
      <c r="AB12" s="261" t="inlineStr">
        <is>
          <t>Owner closes most, relationships shared with team</t>
        </is>
      </c>
      <c r="AC12" s="261" t="n">
        <v>2</v>
      </c>
      <c r="AD12">
        <f>IF($K12="","",IF($M12=1,1-N($Z12),1))</f>
        <v/>
      </c>
      <c r="AE12">
        <f>IF($K12="","",IF($N12=1,1-N($Z12),1))</f>
        <v/>
      </c>
    </row>
    <row r="13" ht="30" customHeight="1" s="215">
      <c r="A13" s="4" t="inlineStr">
        <is>
          <t xml:space="preserve">What's the customer/client churn rate? </t>
        </is>
      </c>
      <c r="B13" s="48" t="inlineStr">
        <is>
          <t>Moderate</t>
        </is>
      </c>
      <c r="C13">
        <f>IFERROR(SUMIFS($AC:$AC,$AA:$AA,$K13,$AB:$AB,$B13),0)</f>
        <v/>
      </c>
      <c r="D13" t="n">
        <v>4</v>
      </c>
      <c r="E13" s="30" t="n"/>
      <c r="F13" s="48" t="inlineStr">
        <is>
          <t>Low</t>
        </is>
      </c>
      <c r="G13">
        <f>IF($F13="","",IFERROR(SUMIFS($AC:$AC,$AA:$AA,$K13,$AB:$AB,$F13),0))</f>
        <v/>
      </c>
      <c r="H13" s="4" t="n"/>
      <c r="I13" s="4" t="inlineStr">
        <is>
          <t>Churn varies by industry. As a rough average across industries only, not your industry: under 5% a year is low, 5-15% moderate, over 15% high. Not tracking it at all is its own answer - a buyer reads it as not knowing whether the revenue holds.</t>
        </is>
      </c>
      <c r="K13" t="inlineStr">
        <is>
          <t>SV44</t>
        </is>
      </c>
      <c r="M13">
        <f>IF(OR($B13="",$B13="N/A",COUNTIFS($AA:$AA,$K13,$AB:$AB,$B13)=0),0,IF(AND($L13="GATE",$C13&lt;=$R13),1,0))</f>
        <v/>
      </c>
      <c r="N13">
        <f>IF($F13="",$M13,IF(OR($F13="N/A",COUNTIFS($AA:$AA,$K13,$AB:$AB,$F13)=0),0,IF(AND($L13="GATE",$G13&lt;=$R13),1,0)))</f>
        <v/>
      </c>
      <c r="O13">
        <f>IF(OR($B13="",$B13="N/A",COUNTIFS($AA:$AA,$K13,$AB:$AB,$B13)=0),"",IFERROR(1+4*($C13-$R13)/($D13-$R13),""))</f>
        <v/>
      </c>
      <c r="P13">
        <f>IF($F13="",$O13,IF(OR($F13="N/A",COUNTIFS($AA:$AA,$K13,$AB:$AB,$F13)=0),"",IFERROR(1+4*($G13-$R13)/($D13-$R13),"")))</f>
        <v/>
      </c>
      <c r="Q13" t="inlineStr">
        <is>
          <t>Financial Quality &amp; Revenue Model</t>
        </is>
      </c>
      <c r="R13" t="n">
        <v>1</v>
      </c>
      <c r="W13">
        <f>IF(AND($B13&lt;&gt;"",COUNTIFS($AA:$AA,$K13,$AB:$AB,$B13)=0),1,0)+IF(AND($F13&lt;&gt;"",COUNTIFS($AA:$AA,$K13,$AB:$AB,$F13)=0),1,0)</f>
        <v/>
      </c>
      <c r="Y13" t="inlineStr">
        <is>
          <t>SV44|Low</t>
        </is>
      </c>
      <c r="AA13" s="261" t="inlineStr">
        <is>
          <t>N2</t>
        </is>
      </c>
      <c r="AB13" s="261" t="inlineStr">
        <is>
          <t>Owner closes all and relationships personal to owner</t>
        </is>
      </c>
      <c r="AC13" s="261" t="n">
        <v>1</v>
      </c>
      <c r="AD13">
        <f>IF($K13="","",IF($M13=1,1-N($Z13),1))</f>
        <v/>
      </c>
      <c r="AE13">
        <f>IF($K13="","",IF($N13=1,1-N($Z13),1))</f>
        <v/>
      </c>
    </row>
    <row r="14" ht="30" customHeight="1" s="215">
      <c r="A14" s="4" t="inlineStr">
        <is>
          <t xml:space="preserve">What does the growth trend for revenue look like? </t>
        </is>
      </c>
      <c r="B14" s="48" t="inlineStr">
        <is>
          <t>10%+ steady growth</t>
        </is>
      </c>
      <c r="C14">
        <f>IFERROR(SUMIFS($AC:$AC,$AA:$AA,$K14,$AB:$AB,$B14),0)</f>
        <v/>
      </c>
      <c r="D14" t="n">
        <v>6</v>
      </c>
      <c r="E14" s="30" t="n"/>
      <c r="F14" s="48" t="inlineStr">
        <is>
          <t>25+ YoY steady growth</t>
        </is>
      </c>
      <c r="G14">
        <f>IF($F14="","",IFERROR(SUMIFS($AC:$AC,$AA:$AA,$K14,$AB:$AB,$F14),0))</f>
        <v/>
      </c>
      <c r="H14" s="4" t="n"/>
      <c r="I14" s="4" t="inlineStr">
        <is>
          <t>Steady and strong growth will increase the buyer pool, the valuation and negotiation leverage in a sales scenario.</t>
        </is>
      </c>
      <c r="K14" t="inlineStr">
        <is>
          <t>SV7</t>
        </is>
      </c>
      <c r="M14">
        <f>IF(OR($B14="",$B14="N/A",COUNTIFS($AA:$AA,$K14,$AB:$AB,$B14)=0),0,IF(AND($L14="GATE",$C14&lt;=$R14),1,0))</f>
        <v/>
      </c>
      <c r="N14">
        <f>IF($F14="",$M14,IF(OR($F14="N/A",COUNTIFS($AA:$AA,$K14,$AB:$AB,$F14)=0),0,IF(AND($L14="GATE",$G14&lt;=$R14),1,0)))</f>
        <v/>
      </c>
      <c r="O14">
        <f>IF(OR($B14="",$B14="N/A",COUNTIFS($AA:$AA,$K14,$AB:$AB,$B14)=0),"",IFERROR(1+4*($C14-$R14)/($D14-$R14),""))</f>
        <v/>
      </c>
      <c r="P14">
        <f>IF($F14="",$O14,IF(OR($F14="N/A",COUNTIFS($AA:$AA,$K14,$AB:$AB,$F14)=0),"",IFERROR(1+4*($G14-$R14)/($D14-$R14),"")))</f>
        <v/>
      </c>
      <c r="Q14" t="inlineStr">
        <is>
          <t>Financial Quality &amp; Revenue Model</t>
        </is>
      </c>
      <c r="R14" t="n">
        <v>1</v>
      </c>
      <c r="W14">
        <f>IF(AND($B14&lt;&gt;"",COUNTIFS($AA:$AA,$K14,$AB:$AB,$B14)=0),1,0)+IF(AND($F14&lt;&gt;"",COUNTIFS($AA:$AA,$K14,$AB:$AB,$F14)=0),1,0)</f>
        <v/>
      </c>
      <c r="Y14" t="inlineStr">
        <is>
          <t>SV7|25+ YoY steady growth</t>
        </is>
      </c>
      <c r="AA14" s="261" t="inlineStr">
        <is>
          <t>N2</t>
        </is>
      </c>
      <c r="AB14" s="261" t="inlineStr">
        <is>
          <t>N/A</t>
        </is>
      </c>
      <c r="AC14" s="261" t="n">
        <v>0</v>
      </c>
      <c r="AD14">
        <f>IF($K14="","",IF($M14=1,1-N($Z14),1))</f>
        <v/>
      </c>
      <c r="AE14">
        <f>IF($K14="","",IF($N14=1,1-N($Z14),1))</f>
        <v/>
      </c>
    </row>
    <row r="15" ht="30" customHeight="1" s="215">
      <c r="A15" s="140" t="inlineStr">
        <is>
          <t>How does the profit margin compare with others in this industry?</t>
        </is>
      </c>
      <c r="B15" s="140">
        <f>IF(Intake!$D$22="Top 10%","Margin in the top 10% of the industry",IF(Intake!$D$22="Above 75th","Margin above the industry 75th percentile",IF(Intake!$D$22="Above median","Margin above the industry median",IF(Intake!$D$22="Below median","Margin below the industry median",IF(Intake!$D$22="Bottom 25%","Margin in the bottom 25% of the industry","N/A")))))</f>
        <v/>
      </c>
      <c r="C15" s="261">
        <f>IFERROR(SUMIFS($AC:$AC,$AA:$AA,$K15,$AB:$AB,$B15),0)</f>
        <v/>
      </c>
      <c r="D15" s="261" t="n">
        <v>5</v>
      </c>
      <c r="E15" s="141" t="n"/>
      <c r="F15" s="140">
        <f>IF(Engine!$B$48="Top 10%","Margin in the top 10% of the industry",IF(Engine!$B$48="Above 75th","Margin above the industry 75th percentile",IF(Engine!$B$48="Above median","Margin above the industry median",IF(Engine!$B$48="Below median","Margin below the industry median",IF(Engine!$B$48="Bottom 25%","Margin in the bottom 25% of the industry","N/A")))))</f>
        <v/>
      </c>
      <c r="G15" s="261">
        <f>IF($F15="","",IFERROR(SUMIFS($AC:$AC,$AA:$AA,$K15,$AB:$AB,$F15),0))</f>
        <v/>
      </c>
      <c r="H15" s="140" t="n"/>
      <c r="I15" s="140" t="inlineStr">
        <is>
          <t>Read automatically from the figures on Intake against the industry margin table - no one answers this one. Margin is the single clearest measure of whether a business converts revenue better or worse than its peers.</t>
        </is>
      </c>
      <c r="J15" s="261" t="n"/>
      <c r="K15" s="261" t="inlineStr">
        <is>
          <t>MARGIN</t>
        </is>
      </c>
      <c r="L15" s="261" t="n"/>
      <c r="M15" s="261">
        <f>IF(OR($B15="",$B15="N/A",COUNTIFS($AA:$AA,$K15,$AB:$AB,$B15)=0),0,IF(AND($L15="GATE",$C15&lt;=$R15),1,0))</f>
        <v/>
      </c>
      <c r="N15" s="261">
        <f>IF($F15="",$M15,IF(OR($F15="N/A",COUNTIFS($AA:$AA,$K15,$AB:$AB,$F15)=0),0,IF(AND($L15="GATE",$G15&lt;=$R15),1,0)))</f>
        <v/>
      </c>
      <c r="O15" s="261">
        <f>IF(OR($B15="",$B15="N/A",COUNTIFS($AA:$AA,$K15,$AB:$AB,$B15)=0),"",IFERROR(1+4*($C15-$R15)/($D15-$R15),""))</f>
        <v/>
      </c>
      <c r="P15" s="261">
        <f>IF($F15="",$O15,IF(OR($F15="N/A",COUNTIFS($AA:$AA,$K15,$AB:$AB,$F15)=0),"",IFERROR(1+4*($G15-$R15)/($D15-$R15),"")))</f>
        <v/>
      </c>
      <c r="Q15" s="261" t="inlineStr">
        <is>
          <t>Financial Quality &amp; Revenue Model</t>
        </is>
      </c>
      <c r="R15" s="261" t="n">
        <v>1</v>
      </c>
      <c r="S15" s="261" t="n"/>
      <c r="T15" s="261" t="n"/>
      <c r="U15" s="261" t="n"/>
      <c r="V15" s="261" t="n"/>
      <c r="W15" s="261">
        <f>IF(AND($B15&lt;&gt;"",COUNTIFS($AA:$AA,$K15,$AB:$AB,$B15)=0),1,0)+IF(AND($F15&lt;&gt;"",COUNTIFS($AA:$AA,$K15,$AB:$AB,$F15)=0),1,0)</f>
        <v/>
      </c>
      <c r="X15" s="261" t="n"/>
      <c r="Y15" s="261" t="n"/>
      <c r="AA15" s="261" t="inlineStr">
        <is>
          <t>R9</t>
        </is>
      </c>
      <c r="AB15" s="261" t="inlineStr">
        <is>
          <t>Sole owner with simple and transferrable set up</t>
        </is>
      </c>
      <c r="AC15" s="261" t="n">
        <v>6</v>
      </c>
      <c r="AD15">
        <f>IF($K15="","",IF($M15=1,1-N($Z15),1))</f>
        <v/>
      </c>
      <c r="AE15">
        <f>IF($K15="","",IF($N15=1,1-N($Z15),1))</f>
        <v/>
      </c>
    </row>
    <row r="16" ht="30" customHeight="1" s="215">
      <c r="A16" s="261" t="n"/>
      <c r="B16" s="261" t="n"/>
      <c r="C16" s="261" t="n"/>
      <c r="D16" s="261" t="n"/>
      <c r="E16" s="261" t="n"/>
      <c r="F16" s="261" t="n"/>
      <c r="G16" s="261" t="n"/>
      <c r="H16" s="261" t="n"/>
      <c r="I16" s="261" t="n"/>
      <c r="J16" s="261" t="n"/>
      <c r="K16" s="261" t="n"/>
      <c r="L16" s="261" t="n"/>
      <c r="M16" s="261" t="n"/>
      <c r="N16" s="261" t="n"/>
      <c r="O16" s="261" t="n"/>
      <c r="P16" s="261" t="n"/>
      <c r="Q16" s="261" t="n"/>
      <c r="R16" s="261" t="n"/>
      <c r="S16" s="261" t="n"/>
      <c r="T16" s="261" t="n"/>
      <c r="U16" s="261" t="n"/>
      <c r="V16" s="261" t="n"/>
      <c r="W16" s="261" t="n"/>
      <c r="X16" s="261" t="n"/>
      <c r="Y16" s="261" t="n"/>
      <c r="AA16" s="261" t="inlineStr">
        <is>
          <t>R9</t>
        </is>
      </c>
      <c r="AB16" s="261" t="inlineStr">
        <is>
          <t>Few owners with simple and transferrable set up</t>
        </is>
      </c>
      <c r="AC16" s="261" t="n">
        <v>5</v>
      </c>
    </row>
    <row r="17" ht="30" customHeight="1" s="215">
      <c r="A17" s="2" t="inlineStr">
        <is>
          <t>Business Quality</t>
        </is>
      </c>
      <c r="B17" s="140" t="n"/>
      <c r="C17" s="261" t="n"/>
      <c r="D17" s="261" t="n"/>
      <c r="E17" s="141" t="n"/>
      <c r="F17" s="140" t="n"/>
      <c r="G17" s="261" t="n"/>
      <c r="H17" s="140" t="n"/>
      <c r="I17" s="140" t="n"/>
      <c r="J17" s="261" t="n"/>
      <c r="K17" s="261" t="n"/>
      <c r="L17" s="261" t="n"/>
      <c r="M17" s="261" t="n"/>
      <c r="N17" s="261" t="n"/>
      <c r="O17" s="261" t="n"/>
      <c r="P17" s="261" t="n"/>
      <c r="Q17" s="261" t="n"/>
      <c r="R17" s="261" t="n"/>
      <c r="S17" s="261" t="n"/>
      <c r="T17" s="261" t="n"/>
      <c r="U17" s="261" t="n"/>
      <c r="V17" s="261" t="n"/>
      <c r="W17" s="261" t="n"/>
      <c r="X17" s="261" t="n"/>
      <c r="Y17" s="261" t="n"/>
      <c r="AA17" s="261" t="inlineStr">
        <is>
          <t>R9</t>
        </is>
      </c>
      <c r="AB17" s="261" t="inlineStr">
        <is>
          <t>Multiple owners, not all committed to selling</t>
        </is>
      </c>
      <c r="AC17" s="261" t="n">
        <v>4</v>
      </c>
    </row>
    <row r="18" ht="30" customHeight="1" s="215">
      <c r="A18" s="140" t="inlineStr">
        <is>
          <t>What percentage of revenue comes from your single largest customer, and your top five?</t>
        </is>
      </c>
      <c r="B18" s="163" t="inlineStr">
        <is>
          <t>Top five 40-60%</t>
        </is>
      </c>
      <c r="C18" s="261">
        <f>IFERROR(SUMIFS($AC:$AC,$AA:$AA,$K18,$AB:$AB,$B18),0)</f>
        <v/>
      </c>
      <c r="D18" s="261" t="n">
        <v>6</v>
      </c>
      <c r="E18" s="141" t="n"/>
      <c r="F18" s="163" t="inlineStr">
        <is>
          <t>Top five under 25%</t>
        </is>
      </c>
      <c r="G18" s="261">
        <f>IF($F18="","",IFERROR(SUMIFS($AC:$AC,$AA:$AA,$K18,$AB:$AB,$F18),0))</f>
        <v/>
      </c>
      <c r="H18" s="140" t="n"/>
      <c r="I18" s="140" t="inlineStr">
        <is>
          <t>If the company has a single customer which is greater than 15% of annual revenue, the loss of this customer could be catastrophic.</t>
        </is>
      </c>
      <c r="J18" s="261" t="n"/>
      <c r="K18" s="261" t="inlineStr">
        <is>
          <t>N8</t>
        </is>
      </c>
      <c r="L18" s="261" t="inlineStr">
        <is>
          <t>GATE</t>
        </is>
      </c>
      <c r="M18" s="261">
        <f>IF(OR($B18="",$B18="N/A",COUNTIFS($AA:$AA,$K18,$AB:$AB,$B18)=0),0,IF(AND($L18="GATE",$C18&lt;=$R18),1,0))</f>
        <v/>
      </c>
      <c r="N18" s="261">
        <f>IF($F18="",$M18,IF(OR($F18="N/A",COUNTIFS($AA:$AA,$K18,$AB:$AB,$F18)=0),0,IF(AND($L18="GATE",$G18&lt;=$R18),1,0)))</f>
        <v/>
      </c>
      <c r="O18" s="261">
        <f>IF(OR($B18="",$B18="N/A",COUNTIFS($AA:$AA,$K18,$AB:$AB,$B18)=0),"",IFERROR(1+4*($C18-$R18)/($D18-$R18),""))</f>
        <v/>
      </c>
      <c r="P18" s="261">
        <f>IF($F18="",$O18,IF(OR($F18="N/A",COUNTIFS($AA:$AA,$K18,$AB:$AB,$F18)=0),"",IFERROR(1+4*($G18-$R18)/($D18-$R18),"")))</f>
        <v/>
      </c>
      <c r="Q18" s="261" t="inlineStr">
        <is>
          <t>Business quality</t>
        </is>
      </c>
      <c r="R18" s="261" t="n">
        <v>1</v>
      </c>
      <c r="S18" s="261" t="n"/>
      <c r="T18" s="261" t="n"/>
      <c r="U18" s="261" t="n"/>
      <c r="V18" s="261" t="n"/>
      <c r="W18" s="261">
        <f>IF(AND($B18&lt;&gt;"",COUNTIFS($AA:$AA,$K18,$AB:$AB,$B18)=0),1,0)+IF(AND($F18&lt;&gt;"",COUNTIFS($AA:$AA,$K18,$AB:$AB,$F18)=0),1,0)</f>
        <v/>
      </c>
      <c r="X18" s="261" t="n"/>
      <c r="Y18" s="261" t="inlineStr">
        <is>
          <t>N8|Top five under 25%</t>
        </is>
      </c>
      <c r="Z18" t="n">
        <v>0.25</v>
      </c>
      <c r="AA18" s="261" t="inlineStr">
        <is>
          <t>R9</t>
        </is>
      </c>
      <c r="AB18" s="261" t="inlineStr">
        <is>
          <t>Off-shore or complex set up</t>
        </is>
      </c>
      <c r="AC18" s="261" t="n">
        <v>3</v>
      </c>
      <c r="AD18">
        <f>IF($K18="","",IF($M18=1,1-N($Z18),1))</f>
        <v/>
      </c>
      <c r="AE18">
        <f>IF($K18="","",IF($N18=1,1-N($Z18),1))</f>
        <v/>
      </c>
    </row>
    <row r="19" ht="30" customHeight="1" s="215">
      <c r="A19" s="140" t="inlineStr">
        <is>
          <t>Which 1-3 people, if they quit next month, would seriously hurt the business - and do they have any reason to stay through a sale (equity, bonus, agreement)?</t>
        </is>
      </c>
      <c r="B19" s="163" t="inlineStr">
        <is>
          <t>Moderate</t>
        </is>
      </c>
      <c r="C19" s="261">
        <f>IFERROR(SUMIFS($AC:$AC,$AA:$AA,$K19,$AB:$AB,$B19),0)</f>
        <v/>
      </c>
      <c r="D19" s="261" t="n">
        <v>3</v>
      </c>
      <c r="E19" s="141" t="n"/>
      <c r="F19" s="163" t="inlineStr">
        <is>
          <t>Low</t>
        </is>
      </c>
      <c r="G19" s="261">
        <f>IF($F19="","",IFERROR(SUMIFS($AC:$AC,$AA:$AA,$K19,$AB:$AB,$F19),0))</f>
        <v/>
      </c>
      <c r="H19" s="140" t="n"/>
      <c r="I19" s="140" t="inlineStr">
        <is>
          <t>If the company heavily relies on one or a few individuals with critical skills or knowledge, their absence due to illness, resignation, or any other reason can be a significant SPOF. If that person has several people or a department under them, this risk is even larger.</t>
        </is>
      </c>
      <c r="J19" s="261" t="n"/>
      <c r="K19" s="261" t="inlineStr">
        <is>
          <t>R6</t>
        </is>
      </c>
      <c r="L19" s="261" t="n"/>
      <c r="M19" s="261">
        <f>IF(OR($B19="",$B19="N/A",COUNTIFS($AA:$AA,$K19,$AB:$AB,$B19)=0),0,IF(AND($L19="GATE",$C19&lt;=$R19),1,0))</f>
        <v/>
      </c>
      <c r="N19" s="261">
        <f>IF($F19="",$M19,IF(OR($F19="N/A",COUNTIFS($AA:$AA,$K19,$AB:$AB,$F19)=0),0,IF(AND($L19="GATE",$G19&lt;=$R19),1,0)))</f>
        <v/>
      </c>
      <c r="O19" s="261">
        <f>IF(OR($B19="",$B19="N/A",COUNTIFS($AA:$AA,$K19,$AB:$AB,$B19)=0),"",IFERROR(1+4*($C19-$R19)/($D19-$R19),""))</f>
        <v/>
      </c>
      <c r="P19" s="261">
        <f>IF($F19="",$O19,IF(OR($F19="N/A",COUNTIFS($AA:$AA,$K19,$AB:$AB,$F19)=0),"",IFERROR(1+4*($G19-$R19)/($D19-$R19),"")))</f>
        <v/>
      </c>
      <c r="Q19" s="261" t="inlineStr">
        <is>
          <t>Business quality</t>
        </is>
      </c>
      <c r="R19" s="261" t="n">
        <v>1</v>
      </c>
      <c r="S19" s="261" t="n"/>
      <c r="T19" s="261" t="n"/>
      <c r="U19" s="261" t="n"/>
      <c r="V19" s="261" t="n"/>
      <c r="W19" s="261">
        <f>IF(AND($B19&lt;&gt;"",COUNTIFS($AA:$AA,$K19,$AB:$AB,$B19)=0),1,0)+IF(AND($F19&lt;&gt;"",COUNTIFS($AA:$AA,$K19,$AB:$AB,$F19)=0),1,0)</f>
        <v/>
      </c>
      <c r="X19" s="261" t="n"/>
      <c r="Y19" s="261" t="inlineStr">
        <is>
          <t>R6|Low</t>
        </is>
      </c>
      <c r="AA19" s="261" t="inlineStr">
        <is>
          <t>R9</t>
        </is>
      </c>
      <c r="AB19" s="261" t="inlineStr">
        <is>
          <t>No incorporation</t>
        </is>
      </c>
      <c r="AC19" s="261" t="n">
        <v>2</v>
      </c>
      <c r="AD19">
        <f>IF($K19="","",IF($M19=1,1-N($Z19),1))</f>
        <v/>
      </c>
      <c r="AE19">
        <f>IF($K19="","",IF($N19=1,1-N($Z19),1))</f>
        <v/>
      </c>
    </row>
    <row r="20" ht="30" customHeight="1" s="215">
      <c r="A20" s="140" t="inlineStr">
        <is>
          <t>From finishing the work to cash in the bank - how many days?</t>
        </is>
      </c>
      <c r="B20" s="163" t="inlineStr">
        <is>
          <t>Under 30 days</t>
        </is>
      </c>
      <c r="C20" s="261">
        <f>IFERROR(SUMIFS($AC:$AC,$AA:$AA,$K20,$AB:$AB,$B20),0)</f>
        <v/>
      </c>
      <c r="D20" s="261" t="n">
        <v>5</v>
      </c>
      <c r="E20" s="141" t="n"/>
      <c r="F20" s="163" t="inlineStr">
        <is>
          <t>Paid at or before delivery</t>
        </is>
      </c>
      <c r="G20" s="261">
        <f>IF($F20="","",IFERROR(SUMIFS($AC:$AC,$AA:$AA,$K20,$AB:$AB,$F20),0))</f>
        <v/>
      </c>
      <c r="H20" s="140" t="n"/>
      <c r="I20" s="140" t="inlineStr">
        <is>
          <t>You want the customers and suppliers to fund your operations rather than having your business cash flows fund the operations of the business as much as possible i.e. your customers to pay you as soon as possible and you paying your suppliers as late as possible.</t>
        </is>
      </c>
      <c r="J20" s="261" t="n"/>
      <c r="K20" s="261" t="inlineStr">
        <is>
          <t>N11</t>
        </is>
      </c>
      <c r="L20" s="261" t="n"/>
      <c r="M20" s="261">
        <f>IF(OR($B20="",$B20="N/A",COUNTIFS($AA:$AA,$K20,$AB:$AB,$B20)=0),0,IF(AND($L20="GATE",$C20&lt;=$R20),1,0))</f>
        <v/>
      </c>
      <c r="N20" s="261">
        <f>IF($F20="",$M20,IF(OR($F20="N/A",COUNTIFS($AA:$AA,$K20,$AB:$AB,$F20)=0),0,IF(AND($L20="GATE",$G20&lt;=$R20),1,0)))</f>
        <v/>
      </c>
      <c r="O20" s="261">
        <f>IF(OR($B20="",$B20="N/A",COUNTIFS($AA:$AA,$K20,$AB:$AB,$B20)=0),"",IFERROR(1+4*($C20-$R20)/($D20-$R20),""))</f>
        <v/>
      </c>
      <c r="P20" s="261">
        <f>IF($F20="",$O20,IF(OR($F20="N/A",COUNTIFS($AA:$AA,$K20,$AB:$AB,$F20)=0),"",IFERROR(1+4*($G20-$R20)/($D20-$R20),"")))</f>
        <v/>
      </c>
      <c r="Q20" s="261" t="inlineStr">
        <is>
          <t>Business quality</t>
        </is>
      </c>
      <c r="R20" s="261" t="n">
        <v>1</v>
      </c>
      <c r="S20" s="261" t="n"/>
      <c r="T20" s="261" t="n"/>
      <c r="U20" s="261" t="n"/>
      <c r="V20" s="261" t="n"/>
      <c r="W20" s="261">
        <f>IF(AND($B20&lt;&gt;"",COUNTIFS($AA:$AA,$K20,$AB:$AB,$B20)=0),1,0)+IF(AND($F20&lt;&gt;"",COUNTIFS($AA:$AA,$K20,$AB:$AB,$F20)=0),1,0)</f>
        <v/>
      </c>
      <c r="X20" s="261" t="n"/>
      <c r="Y20" s="261" t="inlineStr">
        <is>
          <t>N11|Paid at or before delivery</t>
        </is>
      </c>
      <c r="AA20" s="261" t="inlineStr">
        <is>
          <t>R9</t>
        </is>
      </c>
      <c r="AB20" s="261" t="inlineStr">
        <is>
          <t>Unsure</t>
        </is>
      </c>
      <c r="AC20" s="261" t="n">
        <v>1</v>
      </c>
      <c r="AD20">
        <f>IF($K20="","",IF($M20=1,1-N($Z20),1))</f>
        <v/>
      </c>
      <c r="AE20">
        <f>IF($K20="","",IF($N20=1,1-N($Z20),1))</f>
        <v/>
      </c>
    </row>
    <row r="21" ht="30" customHeight="1" s="215">
      <c r="A21" s="140" t="inlineStr">
        <is>
          <t>Any liens, lawsuits, unpaid taxes, disputed ownership, or handshake deals with partners or family in the business?</t>
        </is>
      </c>
      <c r="B21" s="163" t="inlineStr">
        <is>
          <t>No</t>
        </is>
      </c>
      <c r="C21" s="261">
        <f>IFERROR(SUMIFS($AC:$AC,$AA:$AA,$K21,$AB:$AB,$B21),0)</f>
        <v/>
      </c>
      <c r="D21" s="261" t="n">
        <v>3</v>
      </c>
      <c r="E21" s="141" t="n"/>
      <c r="F21" s="163" t="inlineStr">
        <is>
          <t>No</t>
        </is>
      </c>
      <c r="G21" s="261">
        <f>IF($F21="","",IFERROR(SUMIFS($AC:$AC,$AA:$AA,$K21,$AB:$AB,$F21),0))</f>
        <v/>
      </c>
      <c r="H21" s="140" t="n"/>
      <c r="I21" s="140" t="inlineStr">
        <is>
          <t>Having pending legal liabilities such as lawsuits or tax statements that has evaded taxes in the past can strongly impact the sellability of the business. The business must be both compliant, the licenses must be transferrable either held by the business or by employees (preferably more than 1 to decrease key person dependency) that will transfer with the company to the new owner.</t>
        </is>
      </c>
      <c r="J21" s="261" t="n"/>
      <c r="K21" s="261" t="inlineStr">
        <is>
          <t>R23</t>
        </is>
      </c>
      <c r="L21" s="261" t="inlineStr">
        <is>
          <t>GATE</t>
        </is>
      </c>
      <c r="M21" s="261">
        <f>IF(OR($B21="",$B21="N/A",COUNTIFS($AA:$AA,$K21,$AB:$AB,$B21)=0),0,IF(AND($L21="GATE",$C21&lt;=$R21),1,0))</f>
        <v/>
      </c>
      <c r="N21" s="261">
        <f>IF($F21="",$M21,IF(OR($F21="N/A",COUNTIFS($AA:$AA,$K21,$AB:$AB,$F21)=0),0,IF(AND($L21="GATE",$G21&lt;=$R21),1,0)))</f>
        <v/>
      </c>
      <c r="O21" s="261">
        <f>IF(OR($B21="",$B21="N/A",COUNTIFS($AA:$AA,$K21,$AB:$AB,$B21)=0),"",IFERROR(1+4*($C21-$R21)/($D21-$R21),""))</f>
        <v/>
      </c>
      <c r="P21" s="261">
        <f>IF($F21="",$O21,IF(OR($F21="N/A",COUNTIFS($AA:$AA,$K21,$AB:$AB,$F21)=0),"",IFERROR(1+4*($G21-$R21)/($D21-$R21),"")))</f>
        <v/>
      </c>
      <c r="Q21" s="261" t="inlineStr">
        <is>
          <t>Business quality</t>
        </is>
      </c>
      <c r="R21" s="261" t="n">
        <v>1</v>
      </c>
      <c r="S21" s="261" t="n"/>
      <c r="T21" s="261" t="n"/>
      <c r="U21" s="261" t="n"/>
      <c r="V21" s="261" t="n"/>
      <c r="W21" s="261">
        <f>IF(AND($B21&lt;&gt;"",COUNTIFS($AA:$AA,$K21,$AB:$AB,$B21)=0),1,0)+IF(AND($F21&lt;&gt;"",COUNTIFS($AA:$AA,$K21,$AB:$AB,$F21)=0),1,0)</f>
        <v/>
      </c>
      <c r="X21" s="261" t="n"/>
      <c r="Y21" s="261" t="inlineStr">
        <is>
          <t>R23|No</t>
        </is>
      </c>
      <c r="Z21" t="n">
        <v>0.2</v>
      </c>
      <c r="AA21" s="261" t="inlineStr">
        <is>
          <t>R9</t>
        </is>
      </c>
      <c r="AB21" s="261" t="inlineStr">
        <is>
          <t>N/A</t>
        </is>
      </c>
      <c r="AC21" s="261" t="n">
        <v>0</v>
      </c>
      <c r="AD21">
        <f>IF($K21="","",IF($M21=1,1-N($Z21),1))</f>
        <v/>
      </c>
      <c r="AE21">
        <f>IF($K21="","",IF($N21=1,1-N($Z21),1))</f>
        <v/>
      </c>
    </row>
    <row r="22" ht="30" customHeight="1" s="215">
      <c r="A22" s="140" t="inlineStr">
        <is>
          <t xml:space="preserve">What is the state of the company's intangible capital - company culture, quality of talent, reviews, digital presence &amp; brand strength, assets? </t>
        </is>
      </c>
      <c r="B22" s="163" t="inlineStr">
        <is>
          <t>Not great</t>
        </is>
      </c>
      <c r="C22" s="261">
        <f>IFERROR(SUMIFS($AC:$AC,$AA:$AA,$K22,$AB:$AB,$B22),0)</f>
        <v/>
      </c>
      <c r="D22" s="261" t="n">
        <v>3</v>
      </c>
      <c r="E22" s="141" t="n"/>
      <c r="F22" s="163" t="inlineStr">
        <is>
          <t>Excellent</t>
        </is>
      </c>
      <c r="G22" s="261">
        <f>IF($F22="","",IFERROR(SUMIFS($AC:$AC,$AA:$AA,$K22,$AB:$AB,$F22),0))</f>
        <v/>
      </c>
      <c r="H22" s="140" t="n"/>
      <c r="I22" s="140" t="inlineStr">
        <is>
          <t>What a buyer pays for that never appears on the balance sheet: brand, reputation, people, digital presence, culture. Two businesses with identical earnings sell for different prices largely because of this.</t>
        </is>
      </c>
      <c r="J22" s="261" t="n"/>
      <c r="K22" s="261" t="inlineStr">
        <is>
          <t>INT</t>
        </is>
      </c>
      <c r="L22" s="261" t="n"/>
      <c r="M22" s="261">
        <f>IF(OR($B22="",$B22="N/A",COUNTIFS($AA:$AA,$K22,$AB:$AB,$B22)=0),0,IF(AND($L22="GATE",$C22&lt;=$R22),1,0))</f>
        <v/>
      </c>
      <c r="N22" s="261">
        <f>IF($F22="",$M22,IF(OR($F22="N/A",COUNTIFS($AA:$AA,$K22,$AB:$AB,$F22)=0),0,IF(AND($L22="GATE",$G22&lt;=$R22),1,0)))</f>
        <v/>
      </c>
      <c r="O22" s="261">
        <f>IF(OR($B22="",$B22="N/A",COUNTIFS($AA:$AA,$K22,$AB:$AB,$B22)=0),"",IFERROR(1+4*($C22-$R22)/($D22-$R22),""))</f>
        <v/>
      </c>
      <c r="P22" s="261">
        <f>IF($F22="",$O22,IF(OR($F22="N/A",COUNTIFS($AA:$AA,$K22,$AB:$AB,$F22)=0),"",IFERROR(1+4*($G22-$R22)/($D22-$R22),"")))</f>
        <v/>
      </c>
      <c r="Q22" s="261" t="inlineStr">
        <is>
          <t>Business quality</t>
        </is>
      </c>
      <c r="R22" s="261" t="n">
        <v>1</v>
      </c>
      <c r="S22" s="261" t="n"/>
      <c r="T22" s="261" t="n"/>
      <c r="U22" s="261" t="n"/>
      <c r="V22" s="261" t="n"/>
      <c r="W22" s="261">
        <f>IF(AND($B22&lt;&gt;"",COUNTIFS($AA:$AA,$K22,$AB:$AB,$B22)=0),1,0)+IF(AND($F22&lt;&gt;"",COUNTIFS($AA:$AA,$K22,$AB:$AB,$F22)=0),1,0)</f>
        <v/>
      </c>
      <c r="X22" s="261" t="n"/>
      <c r="Y22" s="261" t="inlineStr">
        <is>
          <t>INT|Excellent</t>
        </is>
      </c>
      <c r="AA22" s="261" t="n"/>
      <c r="AB22" s="261" t="n"/>
      <c r="AC22" s="261" t="n"/>
      <c r="AD22">
        <f>IF($K22="","",IF($M22=1,1-N($Z22),1))</f>
        <v/>
      </c>
      <c r="AE22">
        <f>IF($K22="","",IF($N22=1,1-N($Z22),1))</f>
        <v/>
      </c>
    </row>
    <row r="23" ht="30" customHeight="1" s="215">
      <c r="A23" s="140" t="inlineStr">
        <is>
          <t>Where does the business sit against its competitors?</t>
        </is>
      </c>
      <c r="B23" s="163" t="inlineStr">
        <is>
          <t>Established and respected locally, not known beyond that</t>
        </is>
      </c>
      <c r="C23" s="261">
        <f>IFERROR(SUMIFS($AC:$AC,$AA:$AA,$K23,$AB:$AB,$B23),0)</f>
        <v/>
      </c>
      <c r="D23" s="261" t="n">
        <v>5</v>
      </c>
      <c r="E23" s="141" t="n"/>
      <c r="F23" s="163" t="inlineStr">
        <is>
          <t>Top three in its niche, known beyond its own customers</t>
        </is>
      </c>
      <c r="G23" s="261">
        <f>IF($F23="","",IFERROR(SUMIFS($AC:$AC,$AA:$AA,$K23,$AB:$AB,$F23),0))</f>
        <v/>
      </c>
      <c r="H23" s="140" t="n"/>
      <c r="I23" s="140" t="inlineStr">
        <is>
          <t>Market position. A business customers ask for by name carries a premium a buyer can see in its margins and its win rate. One of many is priced like one of many.</t>
        </is>
      </c>
      <c r="J23" s="261" t="n"/>
      <c r="K23" s="261" t="inlineStr">
        <is>
          <t>POS</t>
        </is>
      </c>
      <c r="L23" s="261" t="n"/>
      <c r="M23" s="261">
        <f>IF(OR($B23="",$B23="N/A",COUNTIFS($AA:$AA,$K23,$AB:$AB,$B23)=0),0,IF(AND($L23="GATE",$C23&lt;=$R23),1,0))</f>
        <v/>
      </c>
      <c r="N23" s="261">
        <f>IF($F23="",$M23,IF(OR($F23="N/A",COUNTIFS($AA:$AA,$K23,$AB:$AB,$F23)=0),0,IF(AND($L23="GATE",$G23&lt;=$R23),1,0)))</f>
        <v/>
      </c>
      <c r="O23" s="261">
        <f>IF(OR($B23="",$B23="N/A",COUNTIFS($AA:$AA,$K23,$AB:$AB,$B23)=0),"",IFERROR(1+4*($C23-$R23)/($D23-$R23),""))</f>
        <v/>
      </c>
      <c r="P23" s="261">
        <f>IF($F23="",$O23,IF(OR($F23="N/A",COUNTIFS($AA:$AA,$K23,$AB:$AB,$F23)=0),"",IFERROR(1+4*($G23-$R23)/($D23-$R23),"")))</f>
        <v/>
      </c>
      <c r="Q23" s="261" t="inlineStr">
        <is>
          <t>Business quality</t>
        </is>
      </c>
      <c r="R23" s="261" t="n">
        <v>1</v>
      </c>
      <c r="S23" s="261" t="n"/>
      <c r="T23" s="261" t="n"/>
      <c r="U23" s="261" t="n"/>
      <c r="V23" s="261" t="n"/>
      <c r="W23" s="261">
        <f>IF(AND($B23&lt;&gt;"",COUNTIFS($AA:$AA,$K23,$AB:$AB,$B23)=0),1,0)+IF(AND($F23&lt;&gt;"",COUNTIFS($AA:$AA,$K23,$AB:$AB,$F23)=0),1,0)</f>
        <v/>
      </c>
      <c r="X23" s="261" t="n"/>
      <c r="Y23" s="261" t="n"/>
      <c r="AA23" s="261" t="n"/>
      <c r="AB23" s="261" t="n"/>
      <c r="AC23" s="261" t="n"/>
      <c r="AD23">
        <f>IF($K23="","",IF($M23=1,1-N($Z23),1))</f>
        <v/>
      </c>
      <c r="AE23">
        <f>IF($K23="","",IF($N23=1,1-N($Z23),1))</f>
        <v/>
      </c>
    </row>
    <row r="24" ht="30" customHeight="1" s="215">
      <c r="A24" s="140" t="inlineStr">
        <is>
          <t>Can the business hold its prices, or does the market set them?</t>
        </is>
      </c>
      <c r="B24" s="163" t="inlineStr">
        <is>
          <t>Prices near the market, discounts on larger deals</t>
        </is>
      </c>
      <c r="C24" s="261">
        <f>IFERROR(SUMIFS($AC:$AC,$AA:$AA,$K24,$AB:$AB,$B24),0)</f>
        <v/>
      </c>
      <c r="D24" s="261" t="n">
        <v>5</v>
      </c>
      <c r="E24" s="141" t="n"/>
      <c r="F24" s="163" t="inlineStr">
        <is>
          <t>Holds price in negotiations, rarely discounts to win</t>
        </is>
      </c>
      <c r="G24" s="261">
        <f>IF($F24="","",IFERROR(SUMIFS($AC:$AC,$AA:$AA,$K24,$AB:$AB,$F24),0))</f>
        <v/>
      </c>
      <c r="H24" s="140" t="n"/>
      <c r="I24" s="140" t="inlineStr">
        <is>
          <t>Pricing power. Holding price through a negotiation is the clearest evidence that what the business sells is not a commodity, and it is what protects margin after a sale.</t>
        </is>
      </c>
      <c r="J24" s="261" t="n"/>
      <c r="K24" s="261" t="inlineStr">
        <is>
          <t>PRICE</t>
        </is>
      </c>
      <c r="L24" s="261" t="n"/>
      <c r="M24" s="261">
        <f>IF(OR($B24="",$B24="N/A",COUNTIFS($AA:$AA,$K24,$AB:$AB,$B24)=0),0,IF(AND($L24="GATE",$C24&lt;=$R24),1,0))</f>
        <v/>
      </c>
      <c r="N24" s="261">
        <f>IF($F24="",$M24,IF(OR($F24="N/A",COUNTIFS($AA:$AA,$K24,$AB:$AB,$F24)=0),0,IF(AND($L24="GATE",$G24&lt;=$R24),1,0)))</f>
        <v/>
      </c>
      <c r="O24" s="261">
        <f>IF(OR($B24="",$B24="N/A",COUNTIFS($AA:$AA,$K24,$AB:$AB,$B24)=0),"",IFERROR(1+4*($C24-$R24)/($D24-$R24),""))</f>
        <v/>
      </c>
      <c r="P24" s="261">
        <f>IF($F24="",$O24,IF(OR($F24="N/A",COUNTIFS($AA:$AA,$K24,$AB:$AB,$F24)=0),"",IFERROR(1+4*($G24-$R24)/($D24-$R24),"")))</f>
        <v/>
      </c>
      <c r="Q24" s="261" t="inlineStr">
        <is>
          <t>Business quality</t>
        </is>
      </c>
      <c r="R24" s="261" t="n">
        <v>1</v>
      </c>
      <c r="S24" s="261" t="n"/>
      <c r="T24" s="261" t="n"/>
      <c r="U24" s="261" t="n"/>
      <c r="V24" s="261" t="n"/>
      <c r="W24" s="261">
        <f>IF(AND($B24&lt;&gt;"",COUNTIFS($AA:$AA,$K24,$AB:$AB,$B24)=0),1,0)+IF(AND($F24&lt;&gt;"",COUNTIFS($AA:$AA,$K24,$AB:$AB,$F24)=0),1,0)</f>
        <v/>
      </c>
      <c r="X24" s="261" t="n"/>
      <c r="Y24" s="261" t="n"/>
      <c r="AA24" s="261" t="n"/>
      <c r="AB24" s="261" t="n"/>
      <c r="AC24" s="261" t="n"/>
      <c r="AD24">
        <f>IF($K24="","",IF($M24=1,1-N($Z24),1))</f>
        <v/>
      </c>
      <c r="AE24">
        <f>IF($K24="","",IF($N24=1,1-N($Z24),1))</f>
        <v/>
      </c>
    </row>
    <row r="25" ht="30" customHeight="1" s="215">
      <c r="A25" s="261" t="n"/>
      <c r="B25" s="261" t="n"/>
      <c r="C25" s="261" t="n"/>
      <c r="D25" s="261" t="n"/>
      <c r="E25" s="261" t="n"/>
      <c r="F25" s="261" t="n"/>
      <c r="G25" s="261" t="n"/>
      <c r="H25" s="261" t="n"/>
      <c r="I25" s="261" t="n"/>
      <c r="J25" s="261" t="n"/>
      <c r="K25" s="261" t="n"/>
      <c r="L25" s="261" t="n"/>
      <c r="M25" s="261" t="n"/>
      <c r="N25" s="261" t="n"/>
      <c r="O25" s="261" t="n"/>
      <c r="P25" s="261" t="n"/>
      <c r="Q25" s="261" t="n"/>
      <c r="R25" s="261" t="n"/>
      <c r="S25" s="261" t="n"/>
      <c r="T25" s="261" t="n"/>
      <c r="U25" s="261" t="n"/>
      <c r="V25" s="261" t="n"/>
      <c r="W25" s="261" t="n"/>
      <c r="X25" s="261" t="n"/>
      <c r="Y25" s="261" t="n"/>
      <c r="AA25" s="261" t="n"/>
      <c r="AB25" s="261" t="n"/>
      <c r="AC25" s="261" t="n"/>
    </row>
    <row r="26" ht="30" customHeight="1" s="215">
      <c r="A26" s="2" t="inlineStr">
        <is>
          <t>Systems &amp; Documentation</t>
        </is>
      </c>
      <c r="B26" s="140" t="n"/>
      <c r="C26" s="261" t="n"/>
      <c r="D26" s="261" t="n"/>
      <c r="E26" s="141" t="n"/>
      <c r="F26" s="140" t="n"/>
      <c r="G26" s="261" t="n"/>
      <c r="H26" s="140" t="n"/>
      <c r="I26" s="140" t="n"/>
      <c r="J26" s="261" t="n"/>
      <c r="K26" s="261" t="n"/>
      <c r="L26" s="261" t="n"/>
      <c r="M26" s="261" t="n"/>
      <c r="N26" s="261" t="n"/>
      <c r="O26" s="261" t="n"/>
      <c r="P26" s="261" t="n"/>
      <c r="Q26" s="261" t="n"/>
      <c r="R26" s="261" t="n"/>
      <c r="S26" s="261" t="n"/>
      <c r="T26" s="261" t="n"/>
      <c r="U26" s="261" t="n"/>
      <c r="V26" s="261" t="n"/>
      <c r="W26" s="261" t="n"/>
      <c r="X26" s="261" t="n"/>
      <c r="Y26" s="261" t="n"/>
      <c r="AA26" s="261" t="n"/>
      <c r="AB26" s="261" t="n"/>
      <c r="AC26" s="261" t="n"/>
    </row>
    <row r="27" ht="30" customHeight="1" s="215">
      <c r="A27" s="140" t="inlineStr">
        <is>
          <t>Is there a supplier, vendor or platform you could not replace within 90 days?</t>
        </is>
      </c>
      <c r="B27" s="163" t="inlineStr">
        <is>
          <t>Single source but replaceable within 90 days</t>
        </is>
      </c>
      <c r="C27" s="261">
        <f>IFERROR(SUMIFS($AC:$AC,$AA:$AA,$K27,$AB:$AB,$B27),0)</f>
        <v/>
      </c>
      <c r="D27" s="261" t="n">
        <v>4</v>
      </c>
      <c r="E27" s="141" t="n"/>
      <c r="F27" s="163" t="inlineStr">
        <is>
          <t>No single source, alternatives available and tested</t>
        </is>
      </c>
      <c r="G27" s="261">
        <f>IF($F27="","",IFERROR(SUMIFS($AC:$AC,$AA:$AA,$K27,$AB:$AB,$F27),0))</f>
        <v/>
      </c>
      <c r="H27" s="140" t="n"/>
      <c r="I27" s="140" t="inlineStr">
        <is>
          <t>Reliance on a single provider or supplier for critical materials or components can create a SPOF. If that supplier encounters problems, it can disrupt production and supply.</t>
        </is>
      </c>
      <c r="J27" s="261" t="n"/>
      <c r="K27" s="261" t="inlineStr">
        <is>
          <t>N6</t>
        </is>
      </c>
      <c r="L27" s="261" t="inlineStr">
        <is>
          <t>GATE</t>
        </is>
      </c>
      <c r="M27" s="261">
        <f>IF(OR($B27="",$B27="N/A",COUNTIFS($AA:$AA,$K27,$AB:$AB,$B27)=0),0,IF(AND($L27="GATE",$C27&lt;=$R27),1,0))</f>
        <v/>
      </c>
      <c r="N27" s="261">
        <f>IF($F27="",$M27,IF(OR($F27="N/A",COUNTIFS($AA:$AA,$K27,$AB:$AB,$F27)=0),0,IF(AND($L27="GATE",$G27&lt;=$R27),1,0)))</f>
        <v/>
      </c>
      <c r="O27" s="261">
        <f>IF(OR($B27="",$B27="N/A",COUNTIFS($AA:$AA,$K27,$AB:$AB,$B27)=0),"",IFERROR(1+4*($C27-$R27)/($D27-$R27),""))</f>
        <v/>
      </c>
      <c r="P27" s="261">
        <f>IF($F27="",$O27,IF(OR($F27="N/A",COUNTIFS($AA:$AA,$K27,$AB:$AB,$F27)=0),"",IFERROR(1+4*($G27-$R27)/($D27-$R27),"")))</f>
        <v/>
      </c>
      <c r="Q27" s="261" t="inlineStr">
        <is>
          <t>Systems &amp; documentation</t>
        </is>
      </c>
      <c r="R27" s="261" t="n">
        <v>1</v>
      </c>
      <c r="S27" s="261" t="n"/>
      <c r="T27" s="261" t="n"/>
      <c r="U27" s="261" t="n"/>
      <c r="V27" s="261" t="n"/>
      <c r="W27" s="261">
        <f>IF(AND($B27&lt;&gt;"",COUNTIFS($AA:$AA,$K27,$AB:$AB,$B27)=0),1,0)+IF(AND($F27&lt;&gt;"",COUNTIFS($AA:$AA,$K27,$AB:$AB,$F27)=0),1,0)</f>
        <v/>
      </c>
      <c r="X27" s="261" t="n"/>
      <c r="Y27" s="261" t="inlineStr">
        <is>
          <t>N6|No single source, alternatives available and tested</t>
        </is>
      </c>
      <c r="Z27" t="n">
        <v>0.1</v>
      </c>
      <c r="AA27" s="261" t="inlineStr">
        <is>
          <t>SV4</t>
        </is>
      </c>
      <c r="AB27" s="261" t="inlineStr">
        <is>
          <t>Fully audited</t>
        </is>
      </c>
      <c r="AC27" s="261" t="n">
        <v>6</v>
      </c>
      <c r="AD27">
        <f>IF($K27="","",IF($M27=1,1-N($Z27),1))</f>
        <v/>
      </c>
      <c r="AE27">
        <f>IF($K27="","",IF($N27=1,1-N($Z27),1))</f>
        <v/>
      </c>
    </row>
    <row r="28" ht="30" customHeight="1" s="215">
      <c r="A28" s="140" t="inlineStr">
        <is>
          <t>CRM - how strong is the client relationship management?</t>
        </is>
      </c>
      <c r="B28" s="163" t="inlineStr">
        <is>
          <t>Highly functional CRM</t>
        </is>
      </c>
      <c r="C28" s="261">
        <f>IFERROR(SUMIFS($AC:$AC,$AA:$AA,$K28,$AB:$AB,$B28),0)</f>
        <v/>
      </c>
      <c r="D28" s="261" t="n">
        <v>5</v>
      </c>
      <c r="E28" s="141" t="n"/>
      <c r="F28" s="163" t="inlineStr">
        <is>
          <t>Full ERP</t>
        </is>
      </c>
      <c r="G28" s="261">
        <f>IF($F28="","",IFERROR(SUMIFS($AC:$AC,$AA:$AA,$K28,$AB:$AB,$F28),0))</f>
        <v/>
      </c>
      <c r="H28" s="140" t="n"/>
      <c r="I28" s="140" t="inlineStr">
        <is>
          <t>Where customer relationships actually live. In someone's head, a spreadsheet or an inbox means the buyer gets a list rather than a relationship, and the handover is fragile. A working system means the relationships belong to the company.</t>
        </is>
      </c>
      <c r="J28" s="261" t="n"/>
      <c r="K28" s="261" t="inlineStr">
        <is>
          <t>SV116</t>
        </is>
      </c>
      <c r="L28" s="261" t="n"/>
      <c r="M28" s="261">
        <f>IF(OR($B28="",$B28="N/A",COUNTIFS($AA:$AA,$K28,$AB:$AB,$B28)=0),0,IF(AND($L28="GATE",$C28&lt;=$R28),1,0))</f>
        <v/>
      </c>
      <c r="N28" s="261">
        <f>IF($F28="",$M28,IF(OR($F28="N/A",COUNTIFS($AA:$AA,$K28,$AB:$AB,$F28)=0),0,IF(AND($L28="GATE",$G28&lt;=$R28),1,0)))</f>
        <v/>
      </c>
      <c r="O28" s="261">
        <f>IF(OR($B28="",$B28="N/A",COUNTIFS($AA:$AA,$K28,$AB:$AB,$B28)=0),"",IFERROR(1+4*($C28-$R28)/($D28-$R28),""))</f>
        <v/>
      </c>
      <c r="P28" s="261">
        <f>IF($F28="",$O28,IF(OR($F28="N/A",COUNTIFS($AA:$AA,$K28,$AB:$AB,$F28)=0),"",IFERROR(1+4*($G28-$R28)/($D28-$R28),"")))</f>
        <v/>
      </c>
      <c r="Q28" s="261" t="inlineStr">
        <is>
          <t>Systems &amp; documentation</t>
        </is>
      </c>
      <c r="R28" s="261" t="n">
        <v>1</v>
      </c>
      <c r="S28" s="261" t="n"/>
      <c r="T28" s="261" t="n"/>
      <c r="U28" s="261" t="n"/>
      <c r="V28" s="261" t="n"/>
      <c r="W28" s="261">
        <f>IF(AND($B28&lt;&gt;"",COUNTIFS($AA:$AA,$K28,$AB:$AB,$B28)=0),1,0)+IF(AND($F28&lt;&gt;"",COUNTIFS($AA:$AA,$K28,$AB:$AB,$F28)=0),1,0)</f>
        <v/>
      </c>
      <c r="X28" s="261" t="n"/>
      <c r="Y28" s="261" t="inlineStr">
        <is>
          <t>SV116|Full ERP</t>
        </is>
      </c>
      <c r="AA28" s="261" t="inlineStr">
        <is>
          <t>SV4</t>
        </is>
      </c>
      <c r="AB28" s="261" t="inlineStr">
        <is>
          <t>CPA reviewed</t>
        </is>
      </c>
      <c r="AC28" s="261" t="n">
        <v>5</v>
      </c>
      <c r="AD28">
        <f>IF($K28="","",IF($M28=1,1-N($Z28),1))</f>
        <v/>
      </c>
      <c r="AE28">
        <f>IF($K28="","",IF($N28=1,1-N($Z28),1))</f>
        <v/>
      </c>
    </row>
    <row r="29" ht="60" customHeight="1" s="215">
      <c r="A29" s="140" t="inlineStr">
        <is>
          <t>Are there governance structures - for example consistently tracking progess and metrics, solving issues, accountability in the form of meeting structures, data dashboards etc. that lead to better insight and decisions?</t>
        </is>
      </c>
      <c r="B29" s="163" t="inlineStr">
        <is>
          <t>Few governance structures in place</t>
        </is>
      </c>
      <c r="C29" s="261">
        <f>IFERROR(SUMIFS($AC:$AC,$AA:$AA,$K29,$AB:$AB,$B29),0)</f>
        <v/>
      </c>
      <c r="D29" s="261" t="n">
        <v>4</v>
      </c>
      <c r="E29" s="141" t="n"/>
      <c r="F29" s="163" t="inlineStr">
        <is>
          <t>Full governance (dashboards + meetings + accountability all in place)</t>
        </is>
      </c>
      <c r="G29" s="261">
        <f>IF($F29="","",IFERROR(SUMIFS($AC:$AC,$AA:$AA,$K29,$AB:$AB,$F29),0))</f>
        <v/>
      </c>
      <c r="H29" s="140" t="n"/>
      <c r="I29" s="140" t="inlineStr">
        <is>
          <t>Governance structures is the rhythm of the company, the meeting structure and the pace of which things happen at the company, the focus and prioritization of the company comes from here. Process of information flow and who is responsible for the functions in the company.</t>
        </is>
      </c>
      <c r="J29" s="261" t="n"/>
      <c r="K29" s="261" t="inlineStr">
        <is>
          <t>SV97</t>
        </is>
      </c>
      <c r="L29" s="261" t="n"/>
      <c r="M29" s="261">
        <f>IF(OR($B29="",$B29="N/A",COUNTIFS($AA:$AA,$K29,$AB:$AB,$B29)=0),0,IF(AND($L29="GATE",$C29&lt;=$R29),1,0))</f>
        <v/>
      </c>
      <c r="N29" s="261">
        <f>IF($F29="",$M29,IF(OR($F29="N/A",COUNTIFS($AA:$AA,$K29,$AB:$AB,$F29)=0),0,IF(AND($L29="GATE",$G29&lt;=$R29),1,0)))</f>
        <v/>
      </c>
      <c r="O29" s="261">
        <f>IF(OR($B29="",$B29="N/A",COUNTIFS($AA:$AA,$K29,$AB:$AB,$B29)=0),"",IFERROR(1+4*($C29-$R29)/($D29-$R29),""))</f>
        <v/>
      </c>
      <c r="P29" s="261">
        <f>IF($F29="",$O29,IF(OR($F29="N/A",COUNTIFS($AA:$AA,$K29,$AB:$AB,$F29)=0),"",IFERROR(1+4*($G29-$R29)/($D29-$R29),"")))</f>
        <v/>
      </c>
      <c r="Q29" s="261" t="inlineStr">
        <is>
          <t>Systems &amp; documentation</t>
        </is>
      </c>
      <c r="R29" s="261" t="n">
        <v>1</v>
      </c>
      <c r="S29" s="261" t="n"/>
      <c r="T29" s="261" t="n"/>
      <c r="U29" s="261" t="n"/>
      <c r="V29" s="261" t="n"/>
      <c r="W29" s="261">
        <f>IF(AND($B29&lt;&gt;"",COUNTIFS($AA:$AA,$K29,$AB:$AB,$B29)=0),1,0)+IF(AND($F29&lt;&gt;"",COUNTIFS($AA:$AA,$K29,$AB:$AB,$F29)=0),1,0)</f>
        <v/>
      </c>
      <c r="X29" s="261" t="n"/>
      <c r="Y29" s="261" t="inlineStr">
        <is>
          <t>SV97|Full governance (dashboards + meetings + accountability all in place)</t>
        </is>
      </c>
      <c r="AA29" s="261" t="inlineStr">
        <is>
          <t>SV4</t>
        </is>
      </c>
      <c r="AB29" s="261" t="inlineStr">
        <is>
          <t>CPA compiled</t>
        </is>
      </c>
      <c r="AC29" s="261" t="n">
        <v>4</v>
      </c>
      <c r="AD29">
        <f>IF($K29="","",IF($M29=1,1-N($Z29),1))</f>
        <v/>
      </c>
      <c r="AE29">
        <f>IF($K29="","",IF($N29=1,1-N($Z29),1))</f>
        <v/>
      </c>
    </row>
    <row r="30" ht="30" customHeight="1" s="215">
      <c r="A30" s="261" t="n"/>
      <c r="B30" s="261" t="n"/>
      <c r="C30" s="261" t="n"/>
      <c r="D30" s="261" t="n"/>
      <c r="E30" s="261" t="n"/>
      <c r="F30" s="261" t="n"/>
      <c r="G30" s="261" t="n"/>
      <c r="H30" s="261" t="n"/>
      <c r="I30" s="261" t="n"/>
      <c r="J30" s="261" t="n"/>
      <c r="K30" s="261" t="n"/>
      <c r="L30" s="261" t="n"/>
      <c r="M30" s="261" t="n"/>
      <c r="N30" s="261" t="n"/>
      <c r="O30" s="261" t="n"/>
      <c r="P30" s="261" t="n"/>
      <c r="Q30" s="261" t="n"/>
      <c r="R30" s="261" t="n"/>
      <c r="S30" s="261" t="n"/>
      <c r="T30" s="261" t="n"/>
      <c r="U30" s="261" t="n"/>
      <c r="V30" s="261" t="n"/>
      <c r="W30" s="261" t="n"/>
      <c r="X30" s="261" t="n"/>
      <c r="Y30" s="261" t="n"/>
      <c r="AA30" s="261" t="inlineStr">
        <is>
          <t>SV4</t>
        </is>
      </c>
      <c r="AB30" s="261" t="inlineStr">
        <is>
          <t>External Accounting Firm</t>
        </is>
      </c>
      <c r="AC30" s="261" t="n">
        <v>3</v>
      </c>
    </row>
    <row r="31" ht="30" customHeight="1" s="215">
      <c r="A31" s="2" t="inlineStr">
        <is>
          <t>Transferability</t>
        </is>
      </c>
      <c r="B31" s="142" t="n"/>
      <c r="C31" s="142" t="n"/>
      <c r="D31" s="142" t="n"/>
      <c r="E31" s="261" t="n"/>
      <c r="F31" s="142" t="n"/>
      <c r="G31" s="142" t="n"/>
      <c r="H31" s="142" t="n"/>
      <c r="I31" s="142" t="n"/>
      <c r="J31" s="261" t="n"/>
      <c r="K31" s="261" t="n"/>
      <c r="L31" s="261" t="n"/>
      <c r="M31" s="261" t="n"/>
      <c r="N31" s="261" t="n"/>
      <c r="O31" s="261" t="n"/>
      <c r="P31" s="261" t="n"/>
      <c r="Q31" s="261" t="n"/>
      <c r="R31" s="261" t="n"/>
      <c r="S31" s="261" t="n"/>
      <c r="T31" s="261" t="n"/>
      <c r="U31" s="261" t="n"/>
      <c r="V31" s="261" t="n"/>
      <c r="W31" s="261" t="n"/>
      <c r="X31" s="261" t="n"/>
      <c r="Y31" s="261" t="n"/>
      <c r="AA31" s="261" t="inlineStr">
        <is>
          <t>SV4</t>
        </is>
      </c>
      <c r="AB31" s="261" t="inlineStr">
        <is>
          <t>Accountant generated</t>
        </is>
      </c>
      <c r="AC31" s="261" t="n">
        <v>2</v>
      </c>
    </row>
    <row r="32" ht="45" customHeight="1" s="215">
      <c r="A32" s="140" t="inlineStr">
        <is>
          <t>Are existing processes transferrable to a new owner and other team members? Could a new owner step into the business and very quickly understand it and start running the business successfully? I.e. are are processes and knowledge capital documented and well-structured?</t>
        </is>
      </c>
      <c r="B32" s="163" t="inlineStr">
        <is>
          <t>Fully transferable (any competent hire could step in)</t>
        </is>
      </c>
      <c r="C32" s="261">
        <f>IFERROR(SUMIFS($AC:$AC,$AA:$AA,$K32,$AB:$AB,$B32),0)</f>
        <v/>
      </c>
      <c r="D32" s="261" t="n">
        <v>3</v>
      </c>
      <c r="E32" s="141" t="n"/>
      <c r="F32" s="163" t="inlineStr">
        <is>
          <t>Fully transferable (any competent hire could step in)</t>
        </is>
      </c>
      <c r="G32" s="261">
        <f>IF($F32="","",IFERROR(SUMIFS($AC:$AC,$AA:$AA,$K32,$AB:$AB,$F32),0))</f>
        <v/>
      </c>
      <c r="H32" s="140" t="n"/>
      <c r="I32" s="140" t="inlineStr">
        <is>
          <t>SOPs on everything that's done more than 3 times or has 3 or more steps is ideal for tranferrability. Training materials on how to do the processes are also important.</t>
        </is>
      </c>
      <c r="J32" s="261" t="n"/>
      <c r="K32" s="261" t="inlineStr">
        <is>
          <t>SV110</t>
        </is>
      </c>
      <c r="L32" s="261" t="n"/>
      <c r="M32" s="261">
        <f>IF(OR($B32="",$B32="N/A",COUNTIFS($AA:$AA,$K32,$AB:$AB,$B32)=0),0,IF(AND($L32="GATE",$C32&lt;=$R32),1,0))</f>
        <v/>
      </c>
      <c r="N32" s="261">
        <f>IF($F32="",$M32,IF(OR($F32="N/A",COUNTIFS($AA:$AA,$K32,$AB:$AB,$F32)=0),0,IF(AND($L32="GATE",$G32&lt;=$R32),1,0)))</f>
        <v/>
      </c>
      <c r="O32" s="261">
        <f>IF(OR($B32="",$B32="N/A",COUNTIFS($AA:$AA,$K32,$AB:$AB,$B32)=0),"",IFERROR(1+4*($C32-$R32)/($D32-$R32),""))</f>
        <v/>
      </c>
      <c r="P32" s="261">
        <f>IF($F32="",$O32,IF(OR($F32="N/A",COUNTIFS($AA:$AA,$K32,$AB:$AB,$F32)=0),"",IFERROR(1+4*($G32-$R32)/($D32-$R32),"")))</f>
        <v/>
      </c>
      <c r="Q32" s="261" t="inlineStr">
        <is>
          <t>Transferability</t>
        </is>
      </c>
      <c r="R32" s="261" t="n">
        <v>1</v>
      </c>
      <c r="S32" s="261" t="n"/>
      <c r="T32" s="261" t="n"/>
      <c r="U32" s="261" t="n"/>
      <c r="V32" s="261" t="n"/>
      <c r="W32" s="261">
        <f>IF(AND($B32&lt;&gt;"",COUNTIFS($AA:$AA,$K32,$AB:$AB,$B32)=0),1,0)+IF(AND($F32&lt;&gt;"",COUNTIFS($AA:$AA,$K32,$AB:$AB,$F32)=0),1,0)</f>
        <v/>
      </c>
      <c r="X32" s="261" t="n"/>
      <c r="Y32" s="261" t="inlineStr">
        <is>
          <t>SV110|Fully transferable (any competent hire could step in)</t>
        </is>
      </c>
      <c r="AA32" s="261" t="inlineStr">
        <is>
          <t>SV4</t>
        </is>
      </c>
      <c r="AB32" s="261" t="inlineStr">
        <is>
          <t>Internally prepared</t>
        </is>
      </c>
      <c r="AC32" s="261" t="n">
        <v>1</v>
      </c>
      <c r="AD32">
        <f>IF($K32="","",IF($M32=1,1-N($Z32),1))</f>
        <v/>
      </c>
      <c r="AE32">
        <f>IF($K32="","",IF($N32=1,1-N($Z32),1))</f>
        <v/>
      </c>
    </row>
    <row r="33" ht="30" customHeight="1" s="215">
      <c r="A33" s="140" t="inlineStr">
        <is>
          <t>If the business were sold tomorrow, do your customer contracts transfer to the new owner?</t>
        </is>
      </c>
      <c r="B33" s="163" t="inlineStr">
        <is>
          <t>Assignable with consent, most expected to agree</t>
        </is>
      </c>
      <c r="C33" s="261">
        <f>IFERROR(SUMIFS($AC:$AC,$AA:$AA,$K33,$AB:$AB,$B33),0)</f>
        <v/>
      </c>
      <c r="D33" s="261" t="n">
        <v>5</v>
      </c>
      <c r="E33" s="141" t="n"/>
      <c r="F33" s="163" t="inlineStr">
        <is>
          <t>Assignable without customer consent</t>
        </is>
      </c>
      <c r="G33" s="261">
        <f>IF($F33="","",IFERROR(SUMIFS($AC:$AC,$AA:$AA,$K33,$AB:$AB,$F33),0))</f>
        <v/>
      </c>
      <c r="H33" s="140" t="n"/>
      <c r="I33" s="140" t="inlineStr">
        <is>
          <t>Ideally there are clauses in the contracts which specifies transferrability of agreement to new owner automatically if there's an ownership change in the business. Another important aspect is who ownes the relationships, the company brand, the team as a whole, employee in the company or the owner?</t>
        </is>
      </c>
      <c r="J33" s="261" t="n"/>
      <c r="K33" s="261" t="inlineStr">
        <is>
          <t>N5</t>
        </is>
      </c>
      <c r="L33" s="261" t="inlineStr">
        <is>
          <t>GATE</t>
        </is>
      </c>
      <c r="M33" s="261">
        <f>IF(OR($B33="",$B33="N/A",COUNTIFS($AA:$AA,$K33,$AB:$AB,$B33)=0),0,IF(AND($L33="GATE",$C33&lt;=$R33),1,0))</f>
        <v/>
      </c>
      <c r="N33" s="261">
        <f>IF($F33="",$M33,IF(OR($F33="N/A",COUNTIFS($AA:$AA,$K33,$AB:$AB,$F33)=0),0,IF(AND($L33="GATE",$G33&lt;=$R33),1,0)))</f>
        <v/>
      </c>
      <c r="O33" s="261">
        <f>IF(OR($B33="",$B33="N/A",COUNTIFS($AA:$AA,$K33,$AB:$AB,$B33)=0),"",IFERROR(1+4*($C33-$R33)/($D33-$R33),""))</f>
        <v/>
      </c>
      <c r="P33" s="261">
        <f>IF($F33="",$O33,IF(OR($F33="N/A",COUNTIFS($AA:$AA,$K33,$AB:$AB,$F33)=0),"",IFERROR(1+4*($G33-$R33)/($D33-$R33),"")))</f>
        <v/>
      </c>
      <c r="Q33" s="261" t="inlineStr">
        <is>
          <t>Transferability</t>
        </is>
      </c>
      <c r="R33" s="261" t="n">
        <v>1</v>
      </c>
      <c r="S33" s="261" t="n"/>
      <c r="T33" s="261" t="n"/>
      <c r="U33" s="261" t="n"/>
      <c r="V33" s="261" t="n"/>
      <c r="W33" s="261">
        <f>IF(AND($B33&lt;&gt;"",COUNTIFS($AA:$AA,$K33,$AB:$AB,$B33)=0),1,0)+IF(AND($F33&lt;&gt;"",COUNTIFS($AA:$AA,$K33,$AB:$AB,$F33)=0),1,0)</f>
        <v/>
      </c>
      <c r="X33" s="261" t="n"/>
      <c r="Y33" s="261" t="inlineStr">
        <is>
          <t>N5|Assignable without customer consent</t>
        </is>
      </c>
      <c r="Z33" t="n">
        <v>0.18</v>
      </c>
      <c r="AA33" s="261" t="inlineStr">
        <is>
          <t>SV4</t>
        </is>
      </c>
      <c r="AB33" s="261" t="inlineStr">
        <is>
          <t>N/A</t>
        </is>
      </c>
      <c r="AC33" s="261" t="n">
        <v>0</v>
      </c>
      <c r="AD33">
        <f>IF($K33="","",IF($M33=1,1-N($Z33),1))</f>
        <v/>
      </c>
      <c r="AE33">
        <f>IF($K33="","",IF($N33=1,1-N($Z33),1))</f>
        <v/>
      </c>
    </row>
    <row r="34" ht="30" customHeight="1" s="215">
      <c r="A34" s="140" t="inlineStr">
        <is>
          <t>Is everything the business runs on - brand, IP, key software, licenses, vehicles, property - owned by the company, or is any of it in your personal name or not assigned to the company properly?</t>
        </is>
      </c>
      <c r="B34" s="163" t="inlineStr">
        <is>
          <t>Owned by the company, some not formally registered</t>
        </is>
      </c>
      <c r="C34" s="261">
        <f>IFERROR(SUMIFS($AC:$AC,$AA:$AA,$K34,$AB:$AB,$B34),0)</f>
        <v/>
      </c>
      <c r="D34" s="261" t="n">
        <v>4</v>
      </c>
      <c r="E34" s="141" t="n"/>
      <c r="F34" s="163" t="inlineStr">
        <is>
          <t>All owned by the company and registered</t>
        </is>
      </c>
      <c r="G34" s="261">
        <f>IF($F34="","",IFERROR(SUMIFS($AC:$AC,$AA:$AA,$K34,$AB:$AB,$F34),0))</f>
        <v/>
      </c>
      <c r="H34" s="140" t="n"/>
      <c r="I34" s="140" t="inlineStr">
        <is>
          <t>If there's IP, Trademarks or otherwise - are these owned by the company? Is the ownership of any IP, processes, knowledge capital or otherwise contractually agreed upon with the company with all vendors, suppliers, employees and others?</t>
        </is>
      </c>
      <c r="J34" s="261" t="n"/>
      <c r="K34" s="261" t="inlineStr">
        <is>
          <t>N9</t>
        </is>
      </c>
      <c r="L34" s="261" t="inlineStr">
        <is>
          <t>GATE</t>
        </is>
      </c>
      <c r="M34" s="261">
        <f>IF(OR($B34="",$B34="N/A",COUNTIFS($AA:$AA,$K34,$AB:$AB,$B34)=0),0,IF(AND($L34="GATE",$C34&lt;=$R34),1,0))</f>
        <v/>
      </c>
      <c r="N34" s="261">
        <f>IF($F34="",$M34,IF(OR($F34="N/A",COUNTIFS($AA:$AA,$K34,$AB:$AB,$F34)=0),0,IF(AND($L34="GATE",$G34&lt;=$R34),1,0)))</f>
        <v/>
      </c>
      <c r="O34" s="261">
        <f>IF(OR($B34="",$B34="N/A",COUNTIFS($AA:$AA,$K34,$AB:$AB,$B34)=0),"",IFERROR(1+4*($C34-$R34)/($D34-$R34),""))</f>
        <v/>
      </c>
      <c r="P34" s="261">
        <f>IF($F34="",$O34,IF(OR($F34="N/A",COUNTIFS($AA:$AA,$K34,$AB:$AB,$F34)=0),"",IFERROR(1+4*($G34-$R34)/($D34-$R34),"")))</f>
        <v/>
      </c>
      <c r="Q34" s="261" t="inlineStr">
        <is>
          <t>Transferability</t>
        </is>
      </c>
      <c r="R34" s="261" t="n">
        <v>1</v>
      </c>
      <c r="S34" s="261" t="n"/>
      <c r="T34" s="261" t="n"/>
      <c r="U34" s="261" t="n"/>
      <c r="V34" s="261" t="n"/>
      <c r="W34" s="261">
        <f>IF(AND($B34&lt;&gt;"",COUNTIFS($AA:$AA,$K34,$AB:$AB,$B34)=0),1,0)+IF(AND($F34&lt;&gt;"",COUNTIFS($AA:$AA,$K34,$AB:$AB,$F34)=0),1,0)</f>
        <v/>
      </c>
      <c r="X34" s="261" t="n"/>
      <c r="Y34" s="261" t="inlineStr">
        <is>
          <t>N9|All owned by the company and registered</t>
        </is>
      </c>
      <c r="Z34" t="n">
        <v>0.18</v>
      </c>
      <c r="AA34" s="261" t="inlineStr">
        <is>
          <t>N3</t>
        </is>
      </c>
      <c r="AB34" s="261" t="inlineStr">
        <is>
          <t>All three reconcile and checked externally</t>
        </is>
      </c>
      <c r="AC34" s="261" t="n">
        <v>4</v>
      </c>
      <c r="AD34">
        <f>IF($K34="","",IF($M34=1,1-N($Z34),1))</f>
        <v/>
      </c>
      <c r="AE34">
        <f>IF($K34="","",IF($N34=1,1-N($Z34),1))</f>
        <v/>
      </c>
    </row>
    <row r="35" ht="30" customHeight="1" s="215">
      <c r="A35" s="140" t="inlineStr">
        <is>
          <t>What are the leasing terms of facilities your business operate out of?</t>
        </is>
      </c>
      <c r="B35" s="163" t="inlineStr">
        <is>
          <t>3-5 Yrs</t>
        </is>
      </c>
      <c r="C35" s="261">
        <f>IFERROR(SUMIFS($AC:$AC,$AA:$AA,$K35,$AB:$AB,$B35),0)</f>
        <v/>
      </c>
      <c r="D35" s="261" t="n">
        <v>4</v>
      </c>
      <c r="E35" s="261" t="n"/>
      <c r="F35" s="163" t="inlineStr">
        <is>
          <t>5+ Yrs</t>
        </is>
      </c>
      <c r="G35" s="261">
        <f>IF($F35="","",IFERROR(SUMIFS($AC:$AC,$AA:$AA,$K35,$AB:$AB,$F35),0))</f>
        <v/>
      </c>
      <c r="H35" s="140" t="n"/>
      <c r="I35" s="140" t="inlineStr">
        <is>
          <t>For companies the rely on the physical location of the business, the ability to obtain lending is often tied to the lease of the company and the length of it. Ideally it's 5+ years left on the contract, and the contract is both transferrable and has the ability to expand.</t>
        </is>
      </c>
      <c r="J35" s="261" t="n"/>
      <c r="K35" s="261" t="inlineStr">
        <is>
          <t>SV6</t>
        </is>
      </c>
      <c r="L35" s="261" t="n"/>
      <c r="M35" s="261">
        <f>IF(OR($B35="",$B35="N/A",COUNTIFS($AA:$AA,$K35,$AB:$AB,$B35)=0),0,IF(AND($L35="GATE",$C35&lt;=$R35),1,0))</f>
        <v/>
      </c>
      <c r="N35" s="261">
        <f>IF($F35="",$M35,IF(OR($F35="N/A",COUNTIFS($AA:$AA,$K35,$AB:$AB,$F35)=0),0,IF(AND($L35="GATE",$G35&lt;=$R35),1,0)))</f>
        <v/>
      </c>
      <c r="O35" s="261">
        <f>IF(OR($B35="",$B35="N/A",COUNTIFS($AA:$AA,$K35,$AB:$AB,$B35)=0),"",IFERROR(1+4*($C35-$R35)/($D35-$R35),""))</f>
        <v/>
      </c>
      <c r="P35" s="261">
        <f>IF($F35="",$O35,IF(OR($F35="N/A",COUNTIFS($AA:$AA,$K35,$AB:$AB,$F35)=0),"",IFERROR(1+4*($G35-$R35)/($D35-$R35),"")))</f>
        <v/>
      </c>
      <c r="Q35" s="261" t="inlineStr">
        <is>
          <t>Transferability</t>
        </is>
      </c>
      <c r="R35" s="261" t="n">
        <v>1</v>
      </c>
      <c r="S35" s="261" t="n"/>
      <c r="T35" s="261" t="n"/>
      <c r="U35" s="261" t="n"/>
      <c r="V35" s="261" t="n"/>
      <c r="W35" s="261">
        <f>IF(AND($B35&lt;&gt;"",COUNTIFS($AA:$AA,$K35,$AB:$AB,$B35)=0),1,0)+IF(AND($F35&lt;&gt;"",COUNTIFS($AA:$AA,$K35,$AB:$AB,$F35)=0),1,0)</f>
        <v/>
      </c>
      <c r="X35" s="261" t="n"/>
      <c r="Y35" s="261" t="inlineStr">
        <is>
          <t>SV6|5+ Yrs</t>
        </is>
      </c>
      <c r="AA35" s="261" t="inlineStr">
        <is>
          <t>N3</t>
        </is>
      </c>
      <c r="AB35" s="261" t="inlineStr">
        <is>
          <t>Profit and loss and tax return match, deposits not checked</t>
        </is>
      </c>
      <c r="AC35" s="261" t="n">
        <v>3</v>
      </c>
      <c r="AD35">
        <f>IF($K35="","",IF($M35=1,1-N($Z35),1))</f>
        <v/>
      </c>
      <c r="AE35">
        <f>IF($K35="","",IF($N35=1,1-N($Z35),1))</f>
        <v/>
      </c>
    </row>
    <row r="36" ht="30" customHeight="1" s="215">
      <c r="A36" s="261" t="n"/>
      <c r="B36" s="261" t="n"/>
      <c r="C36" s="261" t="n"/>
      <c r="D36" s="261" t="n"/>
      <c r="E36" s="261" t="n"/>
      <c r="F36" s="261" t="n"/>
      <c r="G36" s="261" t="n"/>
      <c r="H36" s="261" t="n"/>
      <c r="I36" s="261" t="n"/>
      <c r="J36" s="261" t="n"/>
      <c r="K36" s="261" t="n"/>
      <c r="L36" s="261" t="n"/>
      <c r="M36" s="261" t="n"/>
      <c r="N36" s="261" t="n"/>
      <c r="O36" s="261" t="n"/>
      <c r="P36" s="261" t="n"/>
      <c r="Q36" s="261" t="n"/>
      <c r="R36" s="261" t="n"/>
      <c r="S36" s="261" t="n"/>
      <c r="T36" s="261" t="n"/>
      <c r="U36" s="261" t="n"/>
      <c r="V36" s="261" t="n"/>
      <c r="W36" s="261" t="n"/>
      <c r="X36" s="261" t="n"/>
      <c r="Y36" s="261" t="n"/>
      <c r="AA36" s="261" t="inlineStr">
        <is>
          <t>N3</t>
        </is>
      </c>
      <c r="AB36" s="261" t="inlineStr">
        <is>
          <t>Known differences, explainable</t>
        </is>
      </c>
      <c r="AC36" s="261" t="n">
        <v>2</v>
      </c>
    </row>
    <row r="37" ht="30" customHeight="1" s="215">
      <c r="A37" s="2" t="inlineStr">
        <is>
          <t>AI Readiness</t>
        </is>
      </c>
      <c r="B37" s="140" t="n"/>
      <c r="C37" s="261" t="n"/>
      <c r="D37" s="261" t="n"/>
      <c r="E37" s="141" t="n"/>
      <c r="F37" s="140" t="n"/>
      <c r="G37" s="261" t="n"/>
      <c r="H37" s="140" t="n"/>
      <c r="I37" s="140" t="n"/>
      <c r="J37" s="261" t="n"/>
      <c r="K37" s="261" t="n"/>
      <c r="L37" s="261" t="n"/>
      <c r="M37" s="261" t="n"/>
      <c r="N37" s="261" t="n"/>
      <c r="O37" s="261" t="n"/>
      <c r="P37" s="261" t="n"/>
      <c r="Q37" s="261" t="n"/>
      <c r="R37" s="261" t="n"/>
      <c r="S37" s="261" t="n"/>
      <c r="T37" s="261" t="n"/>
      <c r="U37" s="261" t="n"/>
      <c r="V37" s="261" t="n"/>
      <c r="W37" s="261" t="n"/>
      <c r="X37" s="261" t="n"/>
      <c r="Y37" s="261" t="n"/>
      <c r="AA37" s="261" t="inlineStr">
        <is>
          <t>N3</t>
        </is>
      </c>
      <c r="AB37" s="261" t="inlineStr">
        <is>
          <t>Do not match or unsure</t>
        </is>
      </c>
      <c r="AC37" s="261" t="n">
        <v>1</v>
      </c>
    </row>
    <row r="38" ht="30" customHeight="1" s="215">
      <c r="A38" s="140" t="inlineStr">
        <is>
          <t>To what degree is AI integrated into daily administrative and operational workflows to reduce labour cost and expand margin?</t>
        </is>
      </c>
      <c r="B38" s="163" t="inlineStr">
        <is>
          <t>AI workflows in one or two functions, savings not tracked</t>
        </is>
      </c>
      <c r="C38" s="261">
        <f>IFERROR(SUMIFS($AC:$AC,$AA:$AA,$K38,$AB:$AB,$B38),0)</f>
        <v/>
      </c>
      <c r="D38" s="261" t="n">
        <v>5</v>
      </c>
      <c r="E38" s="141" t="n"/>
      <c r="F38" s="163" t="inlineStr">
        <is>
          <t>Core workflows run on AI, light oversight</t>
        </is>
      </c>
      <c r="G38" s="261">
        <f>IF($F38="","",IFERROR(SUMIFS($AC:$AC,$AA:$AA,$K38,$AB:$AB,$F38),0))</f>
        <v/>
      </c>
      <c r="H38" s="140" t="n"/>
      <c r="I38" s="140" t="inlineStr">
        <is>
          <t>A margin question - the same revenue delivered with fewer admin hours is worth more. Buyers now ask directly, and having no policy at all is also a security risk. Top of the scale is core workflows running with light oversight.</t>
        </is>
      </c>
      <c r="J38" s="261" t="n"/>
      <c r="K38" s="261" t="inlineStr">
        <is>
          <t>AI2</t>
        </is>
      </c>
      <c r="L38" s="261" t="n"/>
      <c r="M38" s="261">
        <f>IF(OR($B38="",$B38="N/A",COUNTIFS($AA:$AA,$K38,$AB:$AB,$B38)=0),0,IF(AND($L38="GATE",$C38&lt;=$R38),1,0))</f>
        <v/>
      </c>
      <c r="N38" s="261">
        <f>IF($F38="",$M38,IF(OR($F38="N/A",COUNTIFS($AA:$AA,$K38,$AB:$AB,$F38)=0),0,IF(AND($L38="GATE",$G38&lt;=$R38),1,0)))</f>
        <v/>
      </c>
      <c r="O38" s="261">
        <f>IF(OR($B38="",$B38="N/A",COUNTIFS($AA:$AA,$K38,$AB:$AB,$B38)=0),"",IFERROR(1+4*($C38-$R38)/($D38-$R38),""))</f>
        <v/>
      </c>
      <c r="P38" s="261">
        <f>IF($F38="",$O38,IF(OR($F38="N/A",COUNTIFS($AA:$AA,$K38,$AB:$AB,$F38)=0),"",IFERROR(1+4*($G38-$R38)/($D38-$R38),"")))</f>
        <v/>
      </c>
      <c r="Q38" s="261" t="inlineStr">
        <is>
          <t>AI readiness</t>
        </is>
      </c>
      <c r="R38" s="261" t="n">
        <v>1</v>
      </c>
      <c r="S38" s="261" t="n"/>
      <c r="T38" s="261" t="n"/>
      <c r="U38" s="261" t="n"/>
      <c r="V38" s="261" t="n"/>
      <c r="W38" s="261">
        <f>IF(AND($B38&lt;&gt;"",COUNTIFS($AA:$AA,$K38,$AB:$AB,$B38)=0),1,0)+IF(AND($F38&lt;&gt;"",COUNTIFS($AA:$AA,$K38,$AB:$AB,$F38)=0),1,0)</f>
        <v/>
      </c>
      <c r="X38" s="261" t="n"/>
      <c r="Y38" s="261" t="inlineStr">
        <is>
          <t>AI2|Core workflows run on AI, light oversight</t>
        </is>
      </c>
      <c r="AA38" s="261" t="inlineStr">
        <is>
          <t>N3</t>
        </is>
      </c>
      <c r="AB38" s="261" t="inlineStr">
        <is>
          <t>N/A</t>
        </is>
      </c>
      <c r="AC38" s="261" t="n">
        <v>0</v>
      </c>
      <c r="AD38">
        <f>IF($K38="","",IF($M38=1,1-N($Z38),1))</f>
        <v/>
      </c>
      <c r="AE38">
        <f>IF($K38="","",IF($N38=1,1-N($Z38),1))</f>
        <v/>
      </c>
    </row>
    <row r="39" ht="30" customHeight="1" s="215">
      <c r="A39" s="140" t="inlineStr">
        <is>
          <t>Is AI used to reduce client fulfilment time, and are those efficiency gains captured as profit?</t>
        </is>
      </c>
      <c r="B39" s="163" t="inlineStr">
        <is>
          <t>Fully manual delivery</t>
        </is>
      </c>
      <c r="C39" s="261">
        <f>IFERROR(SUMIFS($AC:$AC,$AA:$AA,$K39,$AB:$AB,$B39),0)</f>
        <v/>
      </c>
      <c r="D39" s="261" t="n">
        <v>5</v>
      </c>
      <c r="E39" s="141" t="n"/>
      <c r="F39" s="163" t="inlineStr">
        <is>
          <t>AI speeds work, execution still needs intervention</t>
        </is>
      </c>
      <c r="G39" s="261">
        <f>IF($F39="","",IFERROR(SUMIFS($AC:$AC,$AA:$AA,$K39,$AB:$AB,$F39),0))</f>
        <v/>
      </c>
      <c r="H39" s="140" t="n"/>
      <c r="I39" s="140" t="inlineStr">
        <is>
          <t>On billable hours, working faster means billing less and the gain goes to the client. Under fixed fees it goes to margin. That is what this measures. Top is capacity growing without hiring; bottom is manual delivery where speed cuts revenue.</t>
        </is>
      </c>
      <c r="J39" s="261" t="n"/>
      <c r="K39" s="261" t="inlineStr">
        <is>
          <t>AI3</t>
        </is>
      </c>
      <c r="L39" s="261" t="n"/>
      <c r="M39" s="261">
        <f>IF(OR($B39="",$B39="N/A",COUNTIFS($AA:$AA,$K39,$AB:$AB,$B39)=0),0,IF(AND($L39="GATE",$C39&lt;=$R39),1,0))</f>
        <v/>
      </c>
      <c r="N39" s="261">
        <f>IF($F39="",$M39,IF(OR($F39="N/A",COUNTIFS($AA:$AA,$K39,$AB:$AB,$F39)=0),0,IF(AND($L39="GATE",$G39&lt;=$R39),1,0)))</f>
        <v/>
      </c>
      <c r="O39" s="261">
        <f>IF(OR($B39="",$B39="N/A",COUNTIFS($AA:$AA,$K39,$AB:$AB,$B39)=0),"",IFERROR(1+4*($C39-$R39)/($D39-$R39),""))</f>
        <v/>
      </c>
      <c r="P39" s="261">
        <f>IF($F39="",$O39,IF(OR($F39="N/A",COUNTIFS($AA:$AA,$K39,$AB:$AB,$F39)=0),"",IFERROR(1+4*($G39-$R39)/($D39-$R39),"")))</f>
        <v/>
      </c>
      <c r="Q39" s="261" t="inlineStr">
        <is>
          <t>AI readiness</t>
        </is>
      </c>
      <c r="R39" s="261" t="n">
        <v>1</v>
      </c>
      <c r="S39" s="261" t="n"/>
      <c r="T39" s="261" t="n"/>
      <c r="U39" s="261" t="n"/>
      <c r="V39" s="261" t="n"/>
      <c r="W39" s="261">
        <f>IF(AND($B39&lt;&gt;"",COUNTIFS($AA:$AA,$K39,$AB:$AB,$B39)=0),1,0)+IF(AND($F39&lt;&gt;"",COUNTIFS($AA:$AA,$K39,$AB:$AB,$F39)=0),1,0)</f>
        <v/>
      </c>
      <c r="X39" s="261" t="n"/>
      <c r="Y39" s="261" t="inlineStr">
        <is>
          <t>AI3|AI speeds work, execution still needs intervention</t>
        </is>
      </c>
      <c r="AA39" s="261" t="inlineStr">
        <is>
          <t>R23</t>
        </is>
      </c>
      <c r="AB39" s="261" t="inlineStr">
        <is>
          <t>No</t>
        </is>
      </c>
      <c r="AC39" s="261" t="n">
        <v>3</v>
      </c>
      <c r="AD39">
        <f>IF($K39="","",IF($M39=1,1-N($Z39),1))</f>
        <v/>
      </c>
      <c r="AE39">
        <f>IF($K39="","",IF($N39=1,1-N($Z39),1))</f>
        <v/>
      </c>
    </row>
    <row r="40" ht="30" customHeight="1" s="215">
      <c r="A40" s="140" t="inlineStr">
        <is>
          <t>How transferable is the technical infrastructure, and how dependent is the business on single tools or key individuals?</t>
        </is>
      </c>
      <c r="B40" s="163" t="inlineStr">
        <is>
          <t>Little documented, one person set it up</t>
        </is>
      </c>
      <c r="C40" s="261">
        <f>IFERROR(SUMIFS($AC:$AC,$AA:$AA,$K40,$AB:$AB,$B40),0)</f>
        <v/>
      </c>
      <c r="D40" s="261" t="n">
        <v>5</v>
      </c>
      <c r="E40" s="141" t="n"/>
      <c r="F40" s="163" t="inlineStr">
        <is>
          <t>Documented, one or more tools would be slow to replace</t>
        </is>
      </c>
      <c r="G40" s="261">
        <f>IF($F40="","",IFERROR(SUMIFS($AC:$AC,$AA:$AA,$K40,$AB:$AB,$F40),0))</f>
        <v/>
      </c>
      <c r="H40" s="140" t="n"/>
      <c r="I40" s="140" t="inlineStr">
        <is>
          <t>Can the technology change hands, and does everything depend on one person or one tool. Decoupled, documented infrastructure transfers cleanly. Data in personal drives with one person who understands it is a single point of failure.</t>
        </is>
      </c>
      <c r="J40" s="261" t="n"/>
      <c r="K40" s="261" t="inlineStr">
        <is>
          <t>AI1</t>
        </is>
      </c>
      <c r="L40" s="261" t="n"/>
      <c r="M40" s="261">
        <f>IF(OR($B40="",$B40="N/A",COUNTIFS($AA:$AA,$K40,$AB:$AB,$B40)=0),0,IF(AND($L40="GATE",$C40&lt;=$R40),1,0))</f>
        <v/>
      </c>
      <c r="N40" s="261">
        <f>IF($F40="",$M40,IF(OR($F40="N/A",COUNTIFS($AA:$AA,$K40,$AB:$AB,$F40)=0),0,IF(AND($L40="GATE",$G40&lt;=$R40),1,0)))</f>
        <v/>
      </c>
      <c r="O40" s="261">
        <f>IF(OR($B40="",$B40="N/A",COUNTIFS($AA:$AA,$K40,$AB:$AB,$B40)=0),"",IFERROR(1+4*($C40-$R40)/($D40-$R40),""))</f>
        <v/>
      </c>
      <c r="P40" s="261">
        <f>IF($F40="",$O40,IF(OR($F40="N/A",COUNTIFS($AA:$AA,$K40,$AB:$AB,$F40)=0),"",IFERROR(1+4*($G40-$R40)/($D40-$R40),"")))</f>
        <v/>
      </c>
      <c r="Q40" s="261" t="inlineStr">
        <is>
          <t>AI readiness</t>
        </is>
      </c>
      <c r="R40" s="261" t="n">
        <v>1</v>
      </c>
      <c r="S40" s="261" t="n"/>
      <c r="T40" s="261" t="n"/>
      <c r="U40" s="261" t="n"/>
      <c r="V40" s="261" t="n"/>
      <c r="W40" s="261">
        <f>IF(AND($B40&lt;&gt;"",COUNTIFS($AA:$AA,$K40,$AB:$AB,$B40)=0),1,0)+IF(AND($F40&lt;&gt;"",COUNTIFS($AA:$AA,$K40,$AB:$AB,$F40)=0),1,0)</f>
        <v/>
      </c>
      <c r="X40" s="261" t="n"/>
      <c r="Y40" s="261" t="inlineStr">
        <is>
          <t>AI1|Documented, one or more tools would be slow to replace</t>
        </is>
      </c>
      <c r="AA40" s="261" t="inlineStr">
        <is>
          <t>R23</t>
        </is>
      </c>
      <c r="AB40" s="261" t="inlineStr">
        <is>
          <t>Partly</t>
        </is>
      </c>
      <c r="AC40" s="261" t="n">
        <v>2</v>
      </c>
      <c r="AD40">
        <f>IF($K40="","",IF($M40=1,1-N($Z40),1))</f>
        <v/>
      </c>
      <c r="AE40">
        <f>IF($K40="","",IF($N40=1,1-N($Z40),1))</f>
        <v/>
      </c>
    </row>
    <row r="41" ht="30" customHeight="1" s="215">
      <c r="A41" s="261" t="n"/>
      <c r="B41" s="261" t="n"/>
      <c r="C41" s="261" t="n"/>
      <c r="D41" s="261" t="n"/>
      <c r="E41" s="261" t="n"/>
      <c r="F41" s="261" t="n"/>
      <c r="G41" s="261" t="n"/>
      <c r="H41" s="261" t="n"/>
      <c r="I41" s="261" t="n"/>
      <c r="J41" s="261" t="n"/>
      <c r="K41" s="261" t="n"/>
      <c r="L41" s="261" t="n"/>
      <c r="M41" s="261" t="n"/>
      <c r="N41" s="261" t="n"/>
      <c r="O41" s="261" t="n"/>
      <c r="P41" s="261" t="n"/>
      <c r="Q41" s="261" t="n"/>
      <c r="R41" s="261" t="n"/>
      <c r="S41" s="261" t="n"/>
      <c r="T41" s="261" t="n"/>
      <c r="U41" s="261" t="n"/>
      <c r="V41" s="261" t="n"/>
      <c r="W41" s="261" t="n"/>
      <c r="X41" s="261" t="n"/>
      <c r="Y41" s="261" t="n"/>
      <c r="AA41" s="261" t="inlineStr">
        <is>
          <t>R23</t>
        </is>
      </c>
      <c r="AB41" s="261" t="inlineStr">
        <is>
          <t>Yes</t>
        </is>
      </c>
      <c r="AC41" s="261" t="n">
        <v>1</v>
      </c>
    </row>
    <row r="42" ht="30" customHeight="1" s="215">
      <c r="A42" s="4" t="n"/>
      <c r="B42" s="261" t="n"/>
      <c r="E42" s="30" t="n"/>
      <c r="F42" s="261" t="n"/>
      <c r="H42" s="4" t="n"/>
      <c r="I42" s="4" t="n"/>
      <c r="AA42" s="261" t="inlineStr">
        <is>
          <t>SV35</t>
        </is>
      </c>
      <c r="AB42" s="261" t="inlineStr">
        <is>
          <t>Contracted recurring revenue</t>
        </is>
      </c>
      <c r="AC42" s="261" t="n">
        <v>6</v>
      </c>
    </row>
    <row r="43" ht="30" customHeight="1" s="215">
      <c r="A43" s="4" t="n"/>
      <c r="B43" s="4" t="n"/>
      <c r="F43" s="4" t="n"/>
      <c r="H43" s="4" t="n"/>
      <c r="I43" s="4" t="n"/>
      <c r="AA43" s="261" t="inlineStr">
        <is>
          <t>SV35</t>
        </is>
      </c>
      <c r="AB43" s="261" t="inlineStr">
        <is>
          <t>Recurring revenue</t>
        </is>
      </c>
      <c r="AC43" s="261" t="n">
        <v>5</v>
      </c>
    </row>
    <row r="44" ht="30" customHeight="1" s="215">
      <c r="A44" s="2" t="n"/>
      <c r="B44" s="3" t="n"/>
      <c r="C44" s="3" t="n"/>
      <c r="D44" s="3" t="n"/>
      <c r="F44" s="3" t="n"/>
      <c r="G44" s="3" t="n"/>
      <c r="H44" s="3" t="n"/>
      <c r="I44" s="3" t="n"/>
      <c r="AA44" s="261" t="inlineStr">
        <is>
          <t>SV35</t>
        </is>
      </c>
      <c r="AB44" s="261" t="inlineStr">
        <is>
          <t>Contractual revenue</t>
        </is>
      </c>
      <c r="AC44" s="261" t="n">
        <v>4</v>
      </c>
    </row>
    <row r="45" ht="30" customHeight="1" s="215">
      <c r="AA45" s="261" t="inlineStr">
        <is>
          <t>SV35</t>
        </is>
      </c>
      <c r="AB45" s="261" t="inlineStr">
        <is>
          <t>Scheduled repeat revenue</t>
        </is>
      </c>
      <c r="AC45" s="261" t="n">
        <v>3</v>
      </c>
    </row>
    <row r="46">
      <c r="AA46" s="261" t="inlineStr">
        <is>
          <t>SV35</t>
        </is>
      </c>
      <c r="AB46" s="261" t="inlineStr">
        <is>
          <t>Repeat revenue</t>
        </is>
      </c>
      <c r="AC46" s="261" t="n">
        <v>2</v>
      </c>
    </row>
    <row r="47">
      <c r="A47" s="4" t="n"/>
      <c r="AA47" s="261" t="inlineStr">
        <is>
          <t>SV35</t>
        </is>
      </c>
      <c r="AB47" s="261" t="inlineStr">
        <is>
          <t>One-time</t>
        </is>
      </c>
      <c r="AC47" s="261" t="n">
        <v>1</v>
      </c>
    </row>
    <row r="48">
      <c r="A48" s="4" t="n"/>
      <c r="AA48" s="261" t="inlineStr">
        <is>
          <t>SV35</t>
        </is>
      </c>
      <c r="AB48" s="261" t="inlineStr">
        <is>
          <t>N/A</t>
        </is>
      </c>
      <c r="AC48" s="261" t="n">
        <v>0</v>
      </c>
    </row>
    <row r="49" ht="30" customHeight="1" s="215">
      <c r="A49" s="4" t="n"/>
      <c r="AA49" s="261" t="inlineStr">
        <is>
          <t>SV44</t>
        </is>
      </c>
      <c r="AB49" s="261" t="inlineStr">
        <is>
          <t>Low</t>
        </is>
      </c>
      <c r="AC49" s="261" t="n">
        <v>4</v>
      </c>
    </row>
    <row r="50" ht="15" customHeight="1" s="215">
      <c r="AA50" s="261" t="inlineStr">
        <is>
          <t>SV44</t>
        </is>
      </c>
      <c r="AB50" s="261" t="inlineStr">
        <is>
          <t>Moderate</t>
        </is>
      </c>
      <c r="AC50" s="261" t="n">
        <v>3</v>
      </c>
    </row>
    <row r="51" ht="15" customHeight="1" s="215">
      <c r="AA51" s="261" t="inlineStr">
        <is>
          <t>SV44</t>
        </is>
      </c>
      <c r="AB51" s="261" t="inlineStr">
        <is>
          <t>High</t>
        </is>
      </c>
      <c r="AC51" s="261" t="n">
        <v>2</v>
      </c>
    </row>
    <row r="52" ht="15" customHeight="1" s="215">
      <c r="AA52" s="261" t="inlineStr">
        <is>
          <t>SV44</t>
        </is>
      </c>
      <c r="AB52" s="261" t="inlineStr">
        <is>
          <t>Not tracked</t>
        </is>
      </c>
      <c r="AC52" s="261" t="n">
        <v>1</v>
      </c>
    </row>
    <row r="53">
      <c r="AA53" s="261" t="inlineStr">
        <is>
          <t>SV44</t>
        </is>
      </c>
      <c r="AB53" s="261" t="inlineStr">
        <is>
          <t>N/A</t>
        </is>
      </c>
      <c r="AC53" s="261" t="n">
        <v>0</v>
      </c>
    </row>
    <row r="54">
      <c r="AA54" s="261" t="n"/>
      <c r="AB54" s="261" t="n"/>
      <c r="AC54" s="261" t="n"/>
    </row>
    <row r="55">
      <c r="AA55" s="261" t="inlineStr">
        <is>
          <t>N8</t>
        </is>
      </c>
      <c r="AB55" s="261" t="inlineStr">
        <is>
          <t>Top five under 25%</t>
        </is>
      </c>
      <c r="AC55" s="261" t="n">
        <v>6</v>
      </c>
    </row>
    <row r="56">
      <c r="AA56" s="261" t="inlineStr">
        <is>
          <t>N8</t>
        </is>
      </c>
      <c r="AB56" s="261" t="inlineStr">
        <is>
          <t>Top five 25-40%</t>
        </is>
      </c>
      <c r="AC56" s="261" t="n">
        <v>5</v>
      </c>
    </row>
    <row r="57">
      <c r="AA57" s="261" t="inlineStr">
        <is>
          <t>N8</t>
        </is>
      </c>
      <c r="AB57" s="261" t="inlineStr">
        <is>
          <t>Top five 40-60%</t>
        </is>
      </c>
      <c r="AC57" s="261" t="n">
        <v>4</v>
      </c>
    </row>
    <row r="58">
      <c r="AA58" s="261" t="inlineStr">
        <is>
          <t>N8</t>
        </is>
      </c>
      <c r="AB58" s="261" t="inlineStr">
        <is>
          <t>Top five 60-80%</t>
        </is>
      </c>
      <c r="AC58" s="261" t="n">
        <v>3</v>
      </c>
    </row>
    <row r="59">
      <c r="AA59" s="261" t="inlineStr">
        <is>
          <t>N8</t>
        </is>
      </c>
      <c r="AB59" s="261" t="inlineStr">
        <is>
          <t>Top five over 80%</t>
        </is>
      </c>
      <c r="AC59" s="261" t="n">
        <v>2</v>
      </c>
    </row>
    <row r="60">
      <c r="AA60" s="261" t="inlineStr">
        <is>
          <t>N8</t>
        </is>
      </c>
      <c r="AB60" s="261" t="inlineStr">
        <is>
          <t>Not tracked</t>
        </is>
      </c>
      <c r="AC60" s="261" t="n">
        <v>1</v>
      </c>
    </row>
    <row r="61">
      <c r="AA61" s="261" t="inlineStr">
        <is>
          <t>N8</t>
        </is>
      </c>
      <c r="AB61" s="261" t="inlineStr">
        <is>
          <t>N/A</t>
        </is>
      </c>
      <c r="AC61" s="261" t="n">
        <v>0</v>
      </c>
    </row>
    <row r="62">
      <c r="AA62" s="261" t="inlineStr">
        <is>
          <t>R6</t>
        </is>
      </c>
      <c r="AB62" s="261" t="inlineStr">
        <is>
          <t>Low</t>
        </is>
      </c>
      <c r="AC62" s="261" t="n">
        <v>3</v>
      </c>
    </row>
    <row r="63">
      <c r="AA63" s="261" t="inlineStr">
        <is>
          <t>R6</t>
        </is>
      </c>
      <c r="AB63" s="261" t="inlineStr">
        <is>
          <t>Moderate</t>
        </is>
      </c>
      <c r="AC63" s="261" t="n">
        <v>2</v>
      </c>
    </row>
    <row r="64">
      <c r="AA64" s="261" t="inlineStr">
        <is>
          <t>R6</t>
        </is>
      </c>
      <c r="AB64" s="261" t="inlineStr">
        <is>
          <t>High</t>
        </is>
      </c>
      <c r="AC64" s="261" t="n">
        <v>1</v>
      </c>
    </row>
    <row r="65">
      <c r="AA65" s="261" t="inlineStr">
        <is>
          <t>R6</t>
        </is>
      </c>
      <c r="AB65" s="261" t="inlineStr">
        <is>
          <t>N/A</t>
        </is>
      </c>
      <c r="AC65" s="261" t="n">
        <v>0</v>
      </c>
    </row>
    <row r="66">
      <c r="AA66" s="261" t="inlineStr">
        <is>
          <t>SV7</t>
        </is>
      </c>
      <c r="AB66" s="261" t="inlineStr">
        <is>
          <t>25+ YoY steady growth</t>
        </is>
      </c>
      <c r="AC66" s="261" t="n">
        <v>6</v>
      </c>
    </row>
    <row r="67">
      <c r="AA67" s="261" t="inlineStr">
        <is>
          <t>SV7</t>
        </is>
      </c>
      <c r="AB67" s="261" t="inlineStr">
        <is>
          <t>10%+ steady growth</t>
        </is>
      </c>
      <c r="AC67" s="261" t="n">
        <v>5</v>
      </c>
    </row>
    <row r="68">
      <c r="AA68" s="261" t="inlineStr">
        <is>
          <t>SV7</t>
        </is>
      </c>
      <c r="AB68" s="261" t="inlineStr">
        <is>
          <t>Modest YoY steady growth</t>
        </is>
      </c>
      <c r="AC68" s="261" t="n">
        <v>4</v>
      </c>
    </row>
    <row r="69">
      <c r="AA69" s="261" t="inlineStr">
        <is>
          <t>SV7</t>
        </is>
      </c>
      <c r="AB69" s="261" t="inlineStr">
        <is>
          <t>Flat &amp; consistent</t>
        </is>
      </c>
      <c r="AC69" s="261" t="n">
        <v>3</v>
      </c>
    </row>
    <row r="70">
      <c r="AA70" s="261" t="inlineStr">
        <is>
          <t>SV7</t>
        </is>
      </c>
      <c r="AB70" s="261" t="inlineStr">
        <is>
          <t>Variable</t>
        </is>
      </c>
      <c r="AC70" s="261" t="n">
        <v>2</v>
      </c>
    </row>
    <row r="71">
      <c r="AA71" s="261" t="inlineStr">
        <is>
          <t>SV7</t>
        </is>
      </c>
      <c r="AB71" s="261" t="inlineStr">
        <is>
          <t>Steadily declining</t>
        </is>
      </c>
      <c r="AC71" s="261" t="n">
        <v>1</v>
      </c>
    </row>
    <row r="72">
      <c r="AA72" s="261" t="inlineStr">
        <is>
          <t>SV7</t>
        </is>
      </c>
      <c r="AB72" s="261" t="inlineStr">
        <is>
          <t>N/A</t>
        </is>
      </c>
      <c r="AC72" s="261" t="n">
        <v>0</v>
      </c>
    </row>
    <row r="73">
      <c r="AA73" s="261" t="n"/>
      <c r="AB73" s="261" t="n"/>
      <c r="AC73" s="261" t="n"/>
    </row>
    <row r="74">
      <c r="AA74" s="261" t="n"/>
      <c r="AB74" s="261" t="n"/>
      <c r="AC74" s="261" t="n"/>
    </row>
    <row r="75">
      <c r="AA75" s="261" t="n"/>
      <c r="AB75" s="261" t="n"/>
      <c r="AC75" s="261" t="n"/>
    </row>
    <row r="76">
      <c r="AA76" s="261" t="n"/>
      <c r="AB76" s="261" t="n"/>
      <c r="AC76" s="261" t="n"/>
    </row>
    <row r="77">
      <c r="AA77" s="261" t="n"/>
      <c r="AB77" s="261" t="n"/>
      <c r="AC77" s="261" t="n"/>
    </row>
    <row r="78">
      <c r="AA78" s="261" t="n"/>
      <c r="AB78" s="261" t="n"/>
      <c r="AC78" s="261" t="n"/>
    </row>
    <row r="79">
      <c r="AA79" s="261" t="n"/>
      <c r="AB79" s="261" t="n"/>
      <c r="AC79" s="261" t="n"/>
    </row>
    <row r="80">
      <c r="AA80" s="261" t="n"/>
      <c r="AB80" s="261" t="n"/>
      <c r="AC80" s="261" t="n"/>
    </row>
    <row r="81">
      <c r="AA81" s="261" t="n"/>
      <c r="AB81" s="261" t="n"/>
      <c r="AC81" s="261" t="n"/>
    </row>
    <row r="82">
      <c r="AA82" s="261" t="n"/>
      <c r="AB82" s="261" t="n"/>
      <c r="AC82" s="261" t="n"/>
    </row>
    <row r="83">
      <c r="AA83" s="261" t="n"/>
      <c r="AB83" s="261" t="n"/>
      <c r="AC83" s="261" t="n"/>
    </row>
    <row r="84">
      <c r="AA84" s="261" t="n"/>
      <c r="AB84" s="261" t="n"/>
      <c r="AC84" s="261" t="n"/>
    </row>
    <row r="85">
      <c r="AA85" s="261" t="n"/>
      <c r="AB85" s="261" t="n"/>
      <c r="AC85" s="261" t="n"/>
    </row>
    <row r="86">
      <c r="AA86" s="261" t="n"/>
      <c r="AB86" s="261" t="n"/>
      <c r="AC86" s="261" t="n"/>
    </row>
    <row r="87">
      <c r="AA87" s="261" t="inlineStr">
        <is>
          <t>INT</t>
        </is>
      </c>
      <c r="AB87" s="261" t="inlineStr">
        <is>
          <t>Excellent</t>
        </is>
      </c>
      <c r="AC87" s="261" t="n">
        <v>3</v>
      </c>
    </row>
    <row r="88">
      <c r="AA88" s="261" t="inlineStr">
        <is>
          <t>INT</t>
        </is>
      </c>
      <c r="AB88" s="261" t="inlineStr">
        <is>
          <t>Good but could be better</t>
        </is>
      </c>
      <c r="AC88" s="261" t="n">
        <v>2</v>
      </c>
    </row>
    <row r="89">
      <c r="AA89" s="261" t="inlineStr">
        <is>
          <t>INT</t>
        </is>
      </c>
      <c r="AB89" s="261" t="inlineStr">
        <is>
          <t>Not great</t>
        </is>
      </c>
      <c r="AC89" s="261" t="n">
        <v>1</v>
      </c>
    </row>
    <row r="90">
      <c r="AA90" s="261" t="inlineStr">
        <is>
          <t>INT</t>
        </is>
      </c>
      <c r="AB90" s="261" t="inlineStr">
        <is>
          <t>N/A</t>
        </is>
      </c>
      <c r="AC90" s="261" t="n">
        <v>0</v>
      </c>
    </row>
    <row r="91">
      <c r="AA91" s="261" t="inlineStr">
        <is>
          <t>N6</t>
        </is>
      </c>
      <c r="AB91" s="261" t="inlineStr">
        <is>
          <t>No single source, alternatives available and tested</t>
        </is>
      </c>
      <c r="AC91" s="261" t="n">
        <v>4</v>
      </c>
    </row>
    <row r="92">
      <c r="AA92" s="261" t="inlineStr">
        <is>
          <t>N6</t>
        </is>
      </c>
      <c r="AB92" s="261" t="inlineStr">
        <is>
          <t>Single source but replaceable within 90 days</t>
        </is>
      </c>
      <c r="AC92" s="261" t="n">
        <v>3</v>
      </c>
    </row>
    <row r="93">
      <c r="AA93" s="261" t="inlineStr">
        <is>
          <t>N6</t>
        </is>
      </c>
      <c r="AB93" s="261" t="inlineStr">
        <is>
          <t>Single source, replacement difficult or costly</t>
        </is>
      </c>
      <c r="AC93" s="261" t="n">
        <v>2</v>
      </c>
    </row>
    <row r="94">
      <c r="AA94" s="261" t="inlineStr">
        <is>
          <t>N6</t>
        </is>
      </c>
      <c r="AB94" s="261" t="inlineStr">
        <is>
          <t>Critical single source, no alternative</t>
        </is>
      </c>
      <c r="AC94" s="261" t="n">
        <v>1</v>
      </c>
    </row>
    <row r="95">
      <c r="AA95" s="261" t="inlineStr">
        <is>
          <t>N6</t>
        </is>
      </c>
      <c r="AB95" s="261" t="inlineStr">
        <is>
          <t>N/A</t>
        </is>
      </c>
      <c r="AC95" s="261" t="n">
        <v>0</v>
      </c>
    </row>
    <row r="96">
      <c r="AA96" s="261" t="inlineStr">
        <is>
          <t>SV116</t>
        </is>
      </c>
      <c r="AB96" s="261" t="inlineStr">
        <is>
          <t>Full ERP</t>
        </is>
      </c>
      <c r="AC96" s="261" t="n">
        <v>5</v>
      </c>
    </row>
    <row r="97">
      <c r="AA97" s="261" t="inlineStr">
        <is>
          <t>SV116</t>
        </is>
      </c>
      <c r="AB97" s="261" t="inlineStr">
        <is>
          <t>Highly functional CRM</t>
        </is>
      </c>
      <c r="AC97" s="261" t="n">
        <v>4</v>
      </c>
    </row>
    <row r="98">
      <c r="AA98" s="261" t="inlineStr">
        <is>
          <t>SV116</t>
        </is>
      </c>
      <c r="AB98" s="261" t="inlineStr">
        <is>
          <t>Basic CRM (core functions only)</t>
        </is>
      </c>
      <c r="AC98" s="261" t="n">
        <v>3</v>
      </c>
    </row>
    <row r="99">
      <c r="AA99" s="261" t="inlineStr">
        <is>
          <t>SV116</t>
        </is>
      </c>
      <c r="AB99" s="261" t="inlineStr">
        <is>
          <t>Spreadsheets or manual tracking only</t>
        </is>
      </c>
      <c r="AC99" s="261" t="n">
        <v>2</v>
      </c>
    </row>
    <row r="100">
      <c r="AA100" s="261" t="inlineStr">
        <is>
          <t>SV116</t>
        </is>
      </c>
      <c r="AB100" s="261" t="inlineStr">
        <is>
          <t>No CRM or customer tracking</t>
        </is>
      </c>
      <c r="AC100" s="261" t="n">
        <v>1</v>
      </c>
    </row>
    <row r="101">
      <c r="AA101" s="261" t="inlineStr">
        <is>
          <t>SV116</t>
        </is>
      </c>
      <c r="AB101" s="261" t="inlineStr">
        <is>
          <t>N/A</t>
        </is>
      </c>
      <c r="AC101" s="261" t="n">
        <v>0</v>
      </c>
    </row>
    <row r="102">
      <c r="AA102" s="261" t="inlineStr">
        <is>
          <t>SV97</t>
        </is>
      </c>
      <c r="AB102" s="261" t="inlineStr">
        <is>
          <t>Full governance (dashboards + meetings + accountability all in place)</t>
        </is>
      </c>
      <c r="AC102" s="261" t="n">
        <v>4</v>
      </c>
    </row>
    <row r="103">
      <c r="AA103" s="261" t="inlineStr">
        <is>
          <t>SV97</t>
        </is>
      </c>
      <c r="AB103" s="261" t="inlineStr">
        <is>
          <t>Some governance structures in place</t>
        </is>
      </c>
      <c r="AC103" s="261" t="n">
        <v>3</v>
      </c>
    </row>
    <row r="104">
      <c r="AA104" s="261" t="inlineStr">
        <is>
          <t>SV97</t>
        </is>
      </c>
      <c r="AB104" s="261" t="inlineStr">
        <is>
          <t>Few governance structures in place</t>
        </is>
      </c>
      <c r="AC104" s="261" t="n">
        <v>2</v>
      </c>
    </row>
    <row r="105">
      <c r="AA105" s="261" t="inlineStr">
        <is>
          <t>SV97</t>
        </is>
      </c>
      <c r="AB105" s="261" t="inlineStr">
        <is>
          <t>No governance</t>
        </is>
      </c>
      <c r="AC105" s="261" t="n">
        <v>1</v>
      </c>
    </row>
    <row r="106">
      <c r="AA106" s="261" t="inlineStr">
        <is>
          <t>SV97</t>
        </is>
      </c>
      <c r="AB106" s="261" t="inlineStr">
        <is>
          <t>N/A</t>
        </is>
      </c>
      <c r="AC106" s="261" t="n">
        <v>0</v>
      </c>
    </row>
    <row r="107">
      <c r="AA107" s="261" t="inlineStr">
        <is>
          <t>SV110</t>
        </is>
      </c>
      <c r="AB107" s="261" t="inlineStr">
        <is>
          <t>Fully transferable (any competent hire could step in)</t>
        </is>
      </c>
      <c r="AC107" s="261" t="n">
        <v>3</v>
      </c>
    </row>
    <row r="108">
      <c r="AA108" s="261" t="inlineStr">
        <is>
          <t>SV110</t>
        </is>
      </c>
      <c r="AB108" s="261" t="inlineStr">
        <is>
          <t>Partially transferable or some key person dependency</t>
        </is>
      </c>
      <c r="AC108" s="261" t="n">
        <v>2</v>
      </c>
    </row>
    <row r="109">
      <c r="AA109" s="261" t="inlineStr">
        <is>
          <t>SV110</t>
        </is>
      </c>
      <c r="AB109" s="261" t="inlineStr">
        <is>
          <t>Tied to specific people (cannot be transferred)</t>
        </is>
      </c>
      <c r="AC109" s="261" t="n">
        <v>1</v>
      </c>
    </row>
    <row r="110">
      <c r="AA110" s="261" t="inlineStr">
        <is>
          <t>SV110</t>
        </is>
      </c>
      <c r="AB110" s="261" t="inlineStr">
        <is>
          <t>N/A</t>
        </is>
      </c>
      <c r="AC110" s="261" t="n">
        <v>0</v>
      </c>
    </row>
    <row r="111">
      <c r="AA111" s="261" t="inlineStr">
        <is>
          <t>N5</t>
        </is>
      </c>
      <c r="AB111" s="261" t="inlineStr">
        <is>
          <t>Assignable without customer consent</t>
        </is>
      </c>
      <c r="AC111" s="261" t="n">
        <v>5</v>
      </c>
    </row>
    <row r="112">
      <c r="AA112" s="261" t="inlineStr">
        <is>
          <t>N5</t>
        </is>
      </c>
      <c r="AB112" s="261" t="inlineStr">
        <is>
          <t>Assignable with consent, most expected to agree</t>
        </is>
      </c>
      <c r="AC112" s="261" t="n">
        <v>4</v>
      </c>
    </row>
    <row r="113">
      <c r="AA113" s="261" t="inlineStr">
        <is>
          <t>N5</t>
        </is>
      </c>
      <c r="AB113" s="261" t="inlineStr">
        <is>
          <t>Consent required, outcome uncertain</t>
        </is>
      </c>
      <c r="AC113" s="261" t="n">
        <v>3</v>
      </c>
    </row>
    <row r="114">
      <c r="AA114" s="261" t="inlineStr">
        <is>
          <t>N5</t>
        </is>
      </c>
      <c r="AB114" s="261" t="inlineStr">
        <is>
          <t>No written contracts (relationship based)</t>
        </is>
      </c>
      <c r="AC114" s="261" t="n">
        <v>2</v>
      </c>
    </row>
    <row r="115">
      <c r="AA115" s="261" t="inlineStr">
        <is>
          <t>N5</t>
        </is>
      </c>
      <c r="AB115" s="261" t="inlineStr">
        <is>
          <t>Contracts not assignable or unsure</t>
        </is>
      </c>
      <c r="AC115" s="261" t="n">
        <v>1</v>
      </c>
    </row>
    <row r="116">
      <c r="AA116" s="261" t="inlineStr">
        <is>
          <t>N5</t>
        </is>
      </c>
      <c r="AB116" s="261" t="inlineStr">
        <is>
          <t>N/A</t>
        </is>
      </c>
      <c r="AC116" s="261" t="n">
        <v>0</v>
      </c>
    </row>
    <row r="117">
      <c r="AA117" s="261" t="inlineStr">
        <is>
          <t>N9</t>
        </is>
      </c>
      <c r="AB117" s="261" t="inlineStr">
        <is>
          <t>All owned by the company and registered</t>
        </is>
      </c>
      <c r="AC117" s="261" t="n">
        <v>4</v>
      </c>
    </row>
    <row r="118">
      <c r="AA118" s="261" t="inlineStr">
        <is>
          <t>N9</t>
        </is>
      </c>
      <c r="AB118" s="261" t="inlineStr">
        <is>
          <t>Owned by the company, some not formally registered</t>
        </is>
      </c>
      <c r="AC118" s="261" t="n">
        <v>3</v>
      </c>
    </row>
    <row r="119">
      <c r="AA119" s="261" t="inlineStr">
        <is>
          <t>N9</t>
        </is>
      </c>
      <c r="AB119" s="261" t="inlineStr">
        <is>
          <t>Some assets or licenses in owner's personal name</t>
        </is>
      </c>
      <c r="AC119" s="261" t="n">
        <v>2</v>
      </c>
    </row>
    <row r="120">
      <c r="AA120" s="261" t="inlineStr">
        <is>
          <t>N9</t>
        </is>
      </c>
      <c r="AB120" s="261" t="inlineStr">
        <is>
          <t>Key assets or trade licenses personal, or unsure</t>
        </is>
      </c>
      <c r="AC120" s="261" t="n">
        <v>1</v>
      </c>
    </row>
    <row r="121">
      <c r="AA121" s="261" t="inlineStr">
        <is>
          <t>N9</t>
        </is>
      </c>
      <c r="AB121" s="261" t="inlineStr">
        <is>
          <t>N/A</t>
        </is>
      </c>
      <c r="AC121" s="261" t="n">
        <v>0</v>
      </c>
    </row>
    <row r="122">
      <c r="AA122" s="261" t="inlineStr">
        <is>
          <t>N11</t>
        </is>
      </c>
      <c r="AB122" s="261" t="inlineStr">
        <is>
          <t>Paid at or before delivery</t>
        </is>
      </c>
      <c r="AC122" s="261" t="n">
        <v>5</v>
      </c>
    </row>
    <row r="123">
      <c r="AA123" s="261" t="inlineStr">
        <is>
          <t>N11</t>
        </is>
      </c>
      <c r="AB123" s="261" t="inlineStr">
        <is>
          <t>Under 30 days</t>
        </is>
      </c>
      <c r="AC123" s="261" t="n">
        <v>4</v>
      </c>
    </row>
    <row r="124">
      <c r="AA124" s="261" t="inlineStr">
        <is>
          <t>N11</t>
        </is>
      </c>
      <c r="AB124" s="261" t="inlineStr">
        <is>
          <t>30-60 days</t>
        </is>
      </c>
      <c r="AC124" s="261" t="n">
        <v>3</v>
      </c>
    </row>
    <row r="125">
      <c r="AA125" s="261" t="inlineStr">
        <is>
          <t>N11</t>
        </is>
      </c>
      <c r="AB125" s="261" t="inlineStr">
        <is>
          <t>60-90 days</t>
        </is>
      </c>
      <c r="AC125" s="261" t="n">
        <v>2</v>
      </c>
    </row>
    <row r="126">
      <c r="AA126" s="261" t="inlineStr">
        <is>
          <t>N11</t>
        </is>
      </c>
      <c r="AB126" s="261" t="inlineStr">
        <is>
          <t>Over 90 days, or not tracked</t>
        </is>
      </c>
      <c r="AC126" s="261" t="n">
        <v>1</v>
      </c>
    </row>
    <row r="127">
      <c r="AA127" s="261" t="inlineStr">
        <is>
          <t>N11</t>
        </is>
      </c>
      <c r="AB127" s="261" t="inlineStr">
        <is>
          <t>N/A</t>
        </is>
      </c>
      <c r="AC127" s="261" t="n">
        <v>0</v>
      </c>
    </row>
    <row r="128">
      <c r="AA128" s="261" t="inlineStr">
        <is>
          <t>AI1</t>
        </is>
      </c>
      <c r="AB128" s="261" t="inlineStr">
        <is>
          <t>Documented, company holds access, any hire could run it</t>
        </is>
      </c>
      <c r="AC128" s="261" t="n">
        <v>5</v>
      </c>
    </row>
    <row r="129">
      <c r="AA129" s="261" t="inlineStr">
        <is>
          <t>AI1</t>
        </is>
      </c>
      <c r="AB129" s="261" t="inlineStr">
        <is>
          <t>Documented, one or more tools would be slow to replace</t>
        </is>
      </c>
      <c r="AC129" s="261" t="n">
        <v>4</v>
      </c>
    </row>
    <row r="130">
      <c r="AA130" s="261" t="inlineStr">
        <is>
          <t>AI1</t>
        </is>
      </c>
      <c r="AB130" s="261" t="inlineStr">
        <is>
          <t>Part documented, one person holds key access</t>
        </is>
      </c>
      <c r="AC130" s="261" t="n">
        <v>3</v>
      </c>
    </row>
    <row r="131">
      <c r="AA131" s="261" t="inlineStr">
        <is>
          <t>AI1</t>
        </is>
      </c>
      <c r="AB131" s="261" t="inlineStr">
        <is>
          <t>Little documented, one person set it up</t>
        </is>
      </c>
      <c r="AC131" s="261" t="n">
        <v>2</v>
      </c>
    </row>
    <row r="132">
      <c r="AA132" s="261" t="inlineStr">
        <is>
          <t>AI1</t>
        </is>
      </c>
      <c r="AB132" s="261" t="inlineStr">
        <is>
          <t>Nothing documented, one person holds access</t>
        </is>
      </c>
      <c r="AC132" s="261" t="n">
        <v>1</v>
      </c>
    </row>
    <row r="133">
      <c r="AA133" s="261" t="inlineStr">
        <is>
          <t>AI1</t>
        </is>
      </c>
      <c r="AB133" s="261" t="inlineStr">
        <is>
          <t>N/A</t>
        </is>
      </c>
      <c r="AC133" s="261" t="n">
        <v>0</v>
      </c>
    </row>
    <row r="134">
      <c r="AA134" s="261" t="inlineStr">
        <is>
          <t>AI2</t>
        </is>
      </c>
      <c r="AB134" s="261" t="inlineStr">
        <is>
          <t>Core workflows run on AI, light oversight</t>
        </is>
      </c>
      <c r="AC134" s="261" t="n">
        <v>5</v>
      </c>
    </row>
    <row r="135">
      <c r="AA135" s="261" t="inlineStr">
        <is>
          <t>AI2</t>
        </is>
      </c>
      <c r="AB135" s="261" t="inlineStr">
        <is>
          <t>AI integrated into admin workflows, hours saved and measured</t>
        </is>
      </c>
      <c r="AC135" s="261" t="n">
        <v>4</v>
      </c>
    </row>
    <row r="136">
      <c r="AA136" s="261" t="inlineStr">
        <is>
          <t>AI2</t>
        </is>
      </c>
      <c r="AB136" s="261" t="inlineStr">
        <is>
          <t>AI workflows in one or two functions, savings not tracked</t>
        </is>
      </c>
      <c r="AC136" s="261" t="n">
        <v>3</v>
      </c>
    </row>
    <row r="137">
      <c r="AA137" s="261" t="inlineStr">
        <is>
          <t>AI2</t>
        </is>
      </c>
      <c r="AB137" s="261" t="inlineStr">
        <is>
          <t>Paid AI accounts for drafting and research, limited use</t>
        </is>
      </c>
      <c r="AC137" s="261" t="n">
        <v>2</v>
      </c>
    </row>
    <row r="138">
      <c r="AA138" s="261" t="inlineStr">
        <is>
          <t>AI2</t>
        </is>
      </c>
      <c r="AB138" s="261" t="inlineStr">
        <is>
          <t>No AI tools and no policy</t>
        </is>
      </c>
      <c r="AC138" s="261" t="n">
        <v>1</v>
      </c>
    </row>
    <row r="139">
      <c r="AA139" s="261" t="inlineStr">
        <is>
          <t>AI2</t>
        </is>
      </c>
      <c r="AB139" s="261" t="inlineStr">
        <is>
          <t>N/A</t>
        </is>
      </c>
      <c r="AC139" s="261" t="n">
        <v>0</v>
      </c>
    </row>
    <row r="140">
      <c r="AA140" s="261" t="inlineStr">
        <is>
          <t>AI3</t>
        </is>
      </c>
      <c r="AB140" s="261" t="inlineStr">
        <is>
          <t>Fulfilment by AI agents, capacity scales without adding headcount</t>
        </is>
      </c>
      <c r="AC140" s="261" t="n">
        <v>5</v>
      </c>
    </row>
    <row r="141">
      <c r="AA141" s="261" t="inlineStr">
        <is>
          <t>AI3</t>
        </is>
      </c>
      <c r="AB141" s="261" t="inlineStr">
        <is>
          <t>AI does 40%+, fixed fees and tokens improves bottom line</t>
        </is>
      </c>
      <c r="AC141" s="261" t="n">
        <v>4</v>
      </c>
    </row>
    <row r="142">
      <c r="AA142" s="261" t="inlineStr">
        <is>
          <t>AI3</t>
        </is>
      </c>
      <c r="AB142" s="261" t="inlineStr">
        <is>
          <t>AI speeds work, execution still needs intervention</t>
        </is>
      </c>
      <c r="AC142" s="261" t="n">
        <v>3</v>
      </c>
    </row>
    <row r="143">
      <c r="AA143" s="261" t="inlineStr">
        <is>
          <t>AI3</t>
        </is>
      </c>
      <c r="AB143" s="261" t="inlineStr">
        <is>
          <t>AI helps, delivery still headcount-dependent</t>
        </is>
      </c>
      <c r="AC143" s="261" t="n">
        <v>2</v>
      </c>
    </row>
    <row r="144">
      <c r="AA144" s="261" t="inlineStr">
        <is>
          <t>AI3</t>
        </is>
      </c>
      <c r="AB144" s="261" t="inlineStr">
        <is>
          <t>Fully manual delivery</t>
        </is>
      </c>
      <c r="AC144" s="261" t="n">
        <v>1</v>
      </c>
    </row>
    <row r="145">
      <c r="AA145" s="261" t="inlineStr">
        <is>
          <t>AI3</t>
        </is>
      </c>
      <c r="AB145" s="261" t="inlineStr">
        <is>
          <t>N/A</t>
        </is>
      </c>
      <c r="AC145" s="261" t="n">
        <v>0</v>
      </c>
    </row>
    <row r="146">
      <c r="AA146" s="261" t="n"/>
      <c r="AB146" s="261" t="n"/>
      <c r="AC146" s="261" t="n"/>
    </row>
    <row r="147">
      <c r="AA147" s="261" t="n"/>
      <c r="AB147" s="261" t="n"/>
      <c r="AC147" s="261" t="n"/>
    </row>
    <row r="148">
      <c r="AA148" s="261" t="n"/>
      <c r="AB148" s="261" t="n"/>
      <c r="AC148" s="261" t="n"/>
    </row>
    <row r="149">
      <c r="AA149" s="261" t="n"/>
      <c r="AB149" s="261" t="n"/>
      <c r="AC149" s="261" t="n"/>
    </row>
    <row r="150">
      <c r="AA150" s="261" t="n"/>
      <c r="AB150" s="261" t="n"/>
      <c r="AC150" s="261" t="n"/>
    </row>
    <row r="151">
      <c r="AA151" s="261" t="n"/>
      <c r="AB151" s="261" t="n"/>
      <c r="AC151" s="261" t="n"/>
    </row>
    <row r="152">
      <c r="AA152" s="261" t="n"/>
      <c r="AB152" s="261" t="n"/>
      <c r="AC152" s="261" t="n"/>
    </row>
    <row r="153">
      <c r="AA153" s="261" t="n"/>
      <c r="AB153" s="261" t="n"/>
      <c r="AC153" s="261" t="n"/>
    </row>
    <row r="154">
      <c r="AA154" s="261" t="n"/>
      <c r="AB154" s="261" t="n"/>
      <c r="AC154" s="261" t="n"/>
    </row>
    <row r="155">
      <c r="AA155" s="261" t="n"/>
      <c r="AB155" s="261" t="n"/>
      <c r="AC155" s="261" t="n"/>
    </row>
    <row r="156">
      <c r="AA156" s="261" t="inlineStr">
        <is>
          <t>SV6</t>
        </is>
      </c>
      <c r="AB156" s="261" t="inlineStr">
        <is>
          <t>5+ Yrs</t>
        </is>
      </c>
      <c r="AC156" s="261" t="n">
        <v>4</v>
      </c>
    </row>
    <row r="157">
      <c r="AA157" s="261" t="inlineStr">
        <is>
          <t>SV6</t>
        </is>
      </c>
      <c r="AB157" s="261" t="inlineStr">
        <is>
          <t>3-5 Yrs</t>
        </is>
      </c>
      <c r="AC157" s="261" t="n">
        <v>3</v>
      </c>
    </row>
    <row r="158">
      <c r="AA158" s="261" t="inlineStr">
        <is>
          <t>SV6</t>
        </is>
      </c>
      <c r="AB158" s="261" t="inlineStr">
        <is>
          <t>Below 3 Yrs</t>
        </is>
      </c>
      <c r="AC158" s="261" t="n">
        <v>2</v>
      </c>
    </row>
    <row r="159">
      <c r="AA159" s="261" t="inlineStr">
        <is>
          <t>SV6</t>
        </is>
      </c>
      <c r="AB159" s="261" t="inlineStr">
        <is>
          <t>Not Contracted</t>
        </is>
      </c>
      <c r="AC159" s="261" t="n">
        <v>1</v>
      </c>
    </row>
    <row r="160">
      <c r="AA160" s="261" t="inlineStr">
        <is>
          <t>SV6</t>
        </is>
      </c>
      <c r="AB160" s="261" t="inlineStr">
        <is>
          <t>N/A</t>
        </is>
      </c>
      <c r="AC160" s="261" t="n">
        <v>0</v>
      </c>
    </row>
    <row r="161">
      <c r="AA161" s="261" t="inlineStr">
        <is>
          <t>MARGIN</t>
        </is>
      </c>
      <c r="AB161" s="261" t="inlineStr">
        <is>
          <t>Margin in the top 10% of the industry</t>
        </is>
      </c>
      <c r="AC161" s="261" t="n">
        <v>5</v>
      </c>
    </row>
    <row r="162">
      <c r="AA162" s="261" t="inlineStr">
        <is>
          <t>MARGIN</t>
        </is>
      </c>
      <c r="AB162" s="261" t="inlineStr">
        <is>
          <t>Margin above the industry 75th percentile</t>
        </is>
      </c>
      <c r="AC162" s="261" t="n">
        <v>4</v>
      </c>
    </row>
    <row r="163">
      <c r="AA163" s="261" t="inlineStr">
        <is>
          <t>MARGIN</t>
        </is>
      </c>
      <c r="AB163" s="261" t="inlineStr">
        <is>
          <t>Margin above the industry median</t>
        </is>
      </c>
      <c r="AC163" s="261" t="n">
        <v>3</v>
      </c>
    </row>
    <row r="164">
      <c r="AA164" s="261" t="inlineStr">
        <is>
          <t>MARGIN</t>
        </is>
      </c>
      <c r="AB164" s="261" t="inlineStr">
        <is>
          <t>Margin below the industry median</t>
        </is>
      </c>
      <c r="AC164" s="261" t="n">
        <v>2</v>
      </c>
    </row>
    <row r="165">
      <c r="AA165" s="261" t="inlineStr">
        <is>
          <t>MARGIN</t>
        </is>
      </c>
      <c r="AB165" s="261" t="inlineStr">
        <is>
          <t>Margin in the bottom 25% of the industry</t>
        </is>
      </c>
      <c r="AC165" s="261" t="n">
        <v>1</v>
      </c>
    </row>
    <row r="166">
      <c r="AA166" s="261" t="inlineStr">
        <is>
          <t>MARGIN</t>
        </is>
      </c>
      <c r="AB166" s="261" t="inlineStr">
        <is>
          <t>N/A</t>
        </is>
      </c>
      <c r="AC166" s="261" t="n">
        <v>0</v>
      </c>
    </row>
    <row r="167">
      <c r="AA167" s="261" t="inlineStr">
        <is>
          <t>POS</t>
        </is>
      </c>
      <c r="AB167" s="261" t="inlineStr">
        <is>
          <t>The reference name in its niche, customers come to it first</t>
        </is>
      </c>
      <c r="AC167" s="261" t="n">
        <v>5</v>
      </c>
    </row>
    <row r="168">
      <c r="AA168" s="261" t="inlineStr">
        <is>
          <t>POS</t>
        </is>
      </c>
      <c r="AB168" s="261" t="inlineStr">
        <is>
          <t>Top three in its niche, known beyond its own customers</t>
        </is>
      </c>
      <c r="AC168" s="261" t="n">
        <v>4</v>
      </c>
    </row>
    <row r="169">
      <c r="AA169" s="261" t="inlineStr">
        <is>
          <t>POS</t>
        </is>
      </c>
      <c r="AB169" s="261" t="inlineStr">
        <is>
          <t>Established and respected locally, not known beyond that</t>
        </is>
      </c>
      <c r="AC169" s="261" t="n">
        <v>3</v>
      </c>
    </row>
    <row r="170">
      <c r="AA170" s="261" t="inlineStr">
        <is>
          <t>POS</t>
        </is>
      </c>
      <c r="AB170" s="261" t="inlineStr">
        <is>
          <t>One of many, no particular recognition</t>
        </is>
      </c>
      <c r="AC170" s="261" t="n">
        <v>2</v>
      </c>
    </row>
    <row r="171">
      <c r="AA171" s="261" t="inlineStr">
        <is>
          <t>POS</t>
        </is>
      </c>
      <c r="AB171" s="261" t="inlineStr">
        <is>
          <t>Unknown outside its own customer list</t>
        </is>
      </c>
      <c r="AC171" s="261" t="n">
        <v>1</v>
      </c>
    </row>
    <row r="172">
      <c r="AA172" s="261" t="inlineStr">
        <is>
          <t>POS</t>
        </is>
      </c>
      <c r="AB172" s="261" t="inlineStr">
        <is>
          <t>N/A</t>
        </is>
      </c>
      <c r="AC172" s="261" t="n">
        <v>0</v>
      </c>
    </row>
    <row r="173">
      <c r="AA173" s="261" t="inlineStr">
        <is>
          <t>PRICE</t>
        </is>
      </c>
      <c r="AB173" s="261" t="inlineStr">
        <is>
          <t>Sets its own prices, customers pay a premium for it</t>
        </is>
      </c>
      <c r="AC173" s="261" t="n">
        <v>5</v>
      </c>
    </row>
    <row r="174">
      <c r="AA174" s="261" t="inlineStr">
        <is>
          <t>PRICE</t>
        </is>
      </c>
      <c r="AB174" s="261" t="inlineStr">
        <is>
          <t>Holds price in negotiations, rarely discounts to win</t>
        </is>
      </c>
      <c r="AC174" s="261" t="n">
        <v>4</v>
      </c>
    </row>
    <row r="175">
      <c r="AA175" s="261" t="inlineStr">
        <is>
          <t>PRICE</t>
        </is>
      </c>
      <c r="AB175" s="261" t="inlineStr">
        <is>
          <t>Prices near the market, discounts on larger deals</t>
        </is>
      </c>
      <c r="AC175" s="261" t="n">
        <v>3</v>
      </c>
    </row>
    <row r="176">
      <c r="AA176" s="261" t="inlineStr">
        <is>
          <t>PRICE</t>
        </is>
      </c>
      <c r="AB176" s="261" t="inlineStr">
        <is>
          <t>Price is usually what wins the work</t>
        </is>
      </c>
      <c r="AC176" s="261" t="n">
        <v>2</v>
      </c>
    </row>
    <row r="177">
      <c r="AA177" s="261" t="inlineStr">
        <is>
          <t>PRICE</t>
        </is>
      </c>
      <c r="AB177" s="261" t="inlineStr">
        <is>
          <t>Pure commodity, the market sets the price</t>
        </is>
      </c>
      <c r="AC177" s="261" t="n">
        <v>1</v>
      </c>
    </row>
    <row r="178">
      <c r="AA178" s="261" t="inlineStr">
        <is>
          <t>PRICE</t>
        </is>
      </c>
      <c r="AB178" s="261" t="inlineStr">
        <is>
          <t>N/A</t>
        </is>
      </c>
      <c r="AC178" s="261" t="n">
        <v>0</v>
      </c>
    </row>
  </sheetData>
  <mergeCells count="1">
    <mergeCell ref="B2:F2"/>
  </mergeCells>
  <dataValidations count="26">
    <dataValidation sqref="B4 F4" showDropDown="0" showInputMessage="0" showErrorMessage="0" allowBlank="1" type="list">
      <formula1>OPT_SV147</formula1>
    </dataValidation>
    <dataValidation sqref="B5 F5" showDropDown="0" showInputMessage="0" showErrorMessage="0" allowBlank="1" type="list">
      <formula1>OPT_Q5</formula1>
    </dataValidation>
    <dataValidation sqref="B6 F6" showDropDown="0" showInputMessage="0" showErrorMessage="0" allowBlank="1" type="list">
      <formula1>OPT_N2</formula1>
    </dataValidation>
    <dataValidation sqref="B7 F7" showDropDown="0" showInputMessage="0" showErrorMessage="0" allowBlank="1" type="list">
      <formula1>OPT_R9</formula1>
    </dataValidation>
    <dataValidation sqref="B10 F10" showDropDown="0" showInputMessage="0" showErrorMessage="0" allowBlank="1" type="list">
      <formula1>OPT_SV4</formula1>
    </dataValidation>
    <dataValidation sqref="B11 F11" showDropDown="0" showInputMessage="0" showErrorMessage="0" allowBlank="1" type="list">
      <formula1>OPT_N3</formula1>
    </dataValidation>
    <dataValidation sqref="B12 F12" showDropDown="0" showInputMessage="0" showErrorMessage="0" allowBlank="1" type="list">
      <formula1>OPT_SV35</formula1>
    </dataValidation>
    <dataValidation sqref="B13 F13" showDropDown="0" showInputMessage="0" showErrorMessage="0" allowBlank="1" type="list">
      <formula1>OPT_SV44</formula1>
    </dataValidation>
    <dataValidation sqref="B14 F14" showDropDown="0" showInputMessage="0" showErrorMessage="0" allowBlank="1" type="list">
      <formula1>OPT_SV7</formula1>
    </dataValidation>
    <dataValidation sqref="B18 F18" showDropDown="0" showInputMessage="0" showErrorMessage="0" allowBlank="1" type="list">
      <formula1>OPT_N8</formula1>
    </dataValidation>
    <dataValidation sqref="B19 F19" showDropDown="0" showInputMessage="0" showErrorMessage="0" allowBlank="1" type="list">
      <formula1>OPT_R6</formula1>
    </dataValidation>
    <dataValidation sqref="B20 F20" showDropDown="0" showInputMessage="0" showErrorMessage="0" allowBlank="1" type="list">
      <formula1>OPT_N11</formula1>
    </dataValidation>
    <dataValidation sqref="B21 F21" showDropDown="0" showInputMessage="0" showErrorMessage="0" allowBlank="1" type="list">
      <formula1>OPT_R23</formula1>
    </dataValidation>
    <dataValidation sqref="B22 F22" showDropDown="0" showInputMessage="0" showErrorMessage="0" allowBlank="1" type="list">
      <formula1>OPT_INT</formula1>
    </dataValidation>
    <dataValidation sqref="B23 F23" showDropDown="0" showInputMessage="0" showErrorMessage="0" allowBlank="1" type="list">
      <formula1>OPT_POS</formula1>
    </dataValidation>
    <dataValidation sqref="B24 F24" showDropDown="0" showInputMessage="0" showErrorMessage="0" allowBlank="1" type="list">
      <formula1>OPT_PRICE</formula1>
    </dataValidation>
    <dataValidation sqref="B27 F27" showDropDown="0" showInputMessage="0" showErrorMessage="0" allowBlank="1" type="list">
      <formula1>OPT_N6</formula1>
    </dataValidation>
    <dataValidation sqref="B28 F28" showDropDown="0" showInputMessage="0" showErrorMessage="0" allowBlank="1" type="list">
      <formula1>OPT_SV116</formula1>
    </dataValidation>
    <dataValidation sqref="B29 F29" showDropDown="0" showInputMessage="0" showErrorMessage="0" allowBlank="1" type="list">
      <formula1>OPT_SV97</formula1>
    </dataValidation>
    <dataValidation sqref="B32 F32" showDropDown="0" showInputMessage="0" showErrorMessage="0" allowBlank="1" type="list">
      <formula1>OPT_SV110</formula1>
    </dataValidation>
    <dataValidation sqref="B33 F33" showDropDown="0" showInputMessage="0" showErrorMessage="0" allowBlank="1" type="list">
      <formula1>OPT_N5</formula1>
    </dataValidation>
    <dataValidation sqref="B34 F34" showDropDown="0" showInputMessage="0" showErrorMessage="0" allowBlank="1" type="list">
      <formula1>OPT_N9</formula1>
    </dataValidation>
    <dataValidation sqref="B35 F35" showDropDown="0" showInputMessage="0" showErrorMessage="0" allowBlank="1" type="list">
      <formula1>OPT_SV6</formula1>
    </dataValidation>
    <dataValidation sqref="B38 F38" showDropDown="0" showInputMessage="0" showErrorMessage="0" allowBlank="1" type="list">
      <formula1>OPT_AI2</formula1>
    </dataValidation>
    <dataValidation sqref="B39 F39" showDropDown="0" showInputMessage="0" showErrorMessage="0" allowBlank="1" type="list">
      <formula1>OPT_AI3</formula1>
    </dataValidation>
    <dataValidation sqref="B40 F40" showDropDown="0" showInputMessage="0" showErrorMessage="0" allowBlank="1" type="list">
      <formula1>OPT_AI1</formula1>
    </dataValidation>
  </dataValidations>
  <pageMargins left="0.75" right="0.75" top="1" bottom="1" header="0.5" footer="0.5"/>
</worksheet>
</file>

<file path=xl/worksheets/sheet3.xml><?xml version="1.0" encoding="utf-8"?>
<worksheet xmlns="http://schemas.openxmlformats.org/spreadsheetml/2006/main">
  <sheetPr codeName="Sheet12">
    <outlinePr summaryBelow="1" summaryRight="1"/>
    <pageSetUpPr/>
  </sheetPr>
  <dimension ref="A1:W35"/>
  <sheetViews>
    <sheetView showGridLines="0" zoomScale="125" workbookViewId="0">
      <selection activeCell="L22" sqref="L22"/>
    </sheetView>
  </sheetViews>
  <sheetFormatPr baseColWidth="10" defaultColWidth="9" defaultRowHeight="14"/>
  <cols>
    <col width="2" customWidth="1" style="215" min="1" max="1"/>
    <col width="30" customWidth="1" style="215" min="2" max="2"/>
    <col width="16" customWidth="1" style="215" min="3" max="4"/>
    <col width="2" customWidth="1" style="215" min="5" max="5"/>
    <col width="30" customWidth="1" style="215" min="6" max="6"/>
    <col width="16" customWidth="1" style="215" min="7" max="8"/>
    <col width="2" customWidth="1" style="215" min="9" max="9"/>
    <col width="30" customWidth="1" style="215" min="10" max="10"/>
    <col width="16" customWidth="1" style="215" min="11" max="12"/>
    <col width="2" customWidth="1" style="215" min="13" max="13"/>
    <col width="46" customWidth="1" style="215" min="14" max="14"/>
  </cols>
  <sheetData>
    <row r="1">
      <c r="P1" s="103" t="inlineStr">
        <is>
          <t>Working out which drivers hold it back. Deal-killers rank first.</t>
        </is>
      </c>
      <c r="T1" t="inlineStr">
        <is>
          <t>Driver score, read from that driver's own row on the Scorecard</t>
        </is>
      </c>
      <c r="U1" t="inlineStr">
        <is>
          <t>Driver's multiple score, read from that driver's own row on the Scorecard</t>
        </is>
      </c>
      <c r="V1" s="103" t="inlineStr">
        <is>
          <t>Buffer above and below the calculated multiple</t>
        </is>
      </c>
      <c r="W1" s="104" t="n">
        <v>0.5</v>
      </c>
    </row>
    <row r="2" ht="34" customHeight="1" s="215">
      <c r="B2" s="229" t="inlineStr">
        <is>
          <t>Value Gap</t>
        </is>
      </c>
      <c r="C2" s="230" t="n"/>
      <c r="D2" s="230" t="n"/>
      <c r="E2" s="230" t="n"/>
      <c r="F2" s="230" t="n"/>
      <c r="G2" s="230" t="n"/>
      <c r="H2" s="230" t="n"/>
      <c r="I2" s="230" t="n"/>
      <c r="J2" s="230" t="n"/>
      <c r="K2" s="230" t="n"/>
      <c r="L2" s="231" t="n"/>
      <c r="P2" s="103">
        <f>Scorecard!$A$3</f>
        <v/>
      </c>
      <c r="Q2" s="103">
        <f>SUMIFS(Questions!$M$3:$M$45,Questions!$Q$3:$Q$45,$P2)</f>
        <v/>
      </c>
      <c r="R2" s="103">
        <f>IFERROR(N($Q2)*100+(5-N(Scorecard!$B$3)),0)</f>
        <v/>
      </c>
      <c r="S2" s="103">
        <f>RANK($R2,$R$2:$R$8,0)+COUNTIF($R$2:$R2,$R2)-1</f>
        <v/>
      </c>
      <c r="T2">
        <f>IFERROR(N(Scorecard!$B$3),"")</f>
        <v/>
      </c>
      <c r="U2">
        <f>IFERROR(N(Scorecard!$D$3),"")</f>
        <v/>
      </c>
    </row>
    <row r="3" ht="22" customHeight="1" s="215">
      <c r="B3" s="241">
        <f>IF(Intake!$D$5="","",Intake!$D$5)</f>
        <v/>
      </c>
      <c r="C3" s="230" t="n"/>
      <c r="D3" s="230" t="n"/>
      <c r="E3" s="230" t="n"/>
      <c r="F3" s="231" t="n"/>
      <c r="G3" s="105" t="n"/>
      <c r="H3" s="105" t="n"/>
      <c r="I3" s="105" t="n"/>
      <c r="J3" s="236">
        <f>IF(Intake!$H$23="","",Intake!$H$23)</f>
        <v/>
      </c>
      <c r="K3" s="230" t="n"/>
      <c r="L3" s="231" t="n"/>
      <c r="P3" s="103">
        <f>Scorecard!$A$8</f>
        <v/>
      </c>
      <c r="Q3" s="103">
        <f>SUMIFS(Questions!$M$3:$M$45,Questions!$Q$3:$Q$45,$P3)</f>
        <v/>
      </c>
      <c r="R3" s="103">
        <f>IFERROR(N($Q3)*100+(5-N(Scorecard!$B$8)),0)</f>
        <v/>
      </c>
      <c r="S3" s="103">
        <f>RANK($R3,$R$2:$R$8,0)+COUNTIF($R$2:$R3,$R3)-1</f>
        <v/>
      </c>
      <c r="T3">
        <f>IFERROR(N(Scorecard!$B$8),"")</f>
        <v/>
      </c>
      <c r="U3">
        <f>IFERROR(N(Scorecard!$D$8),"")</f>
        <v/>
      </c>
    </row>
    <row r="4" ht="26" customHeight="1" s="215">
      <c r="B4" s="246" t="inlineStr">
        <is>
          <t>Everything on this page is a multiple of earnings. No business value is stated anywhere.</t>
        </is>
      </c>
      <c r="P4" s="103">
        <f>Scorecard!$A$15</f>
        <v/>
      </c>
      <c r="Q4" s="103">
        <f>SUMIFS(Questions!$M$3:$M$45,Questions!$Q$3:$Q$45,$P4)</f>
        <v/>
      </c>
      <c r="R4" s="103">
        <f>IFERROR(N($Q4)*100+(5-N(Scorecard!$B$15)),0)</f>
        <v/>
      </c>
      <c r="S4" s="103">
        <f>RANK($R4,$R$2:$R$8,0)+COUNTIF($R$2:$R4,$R4)-1</f>
        <v/>
      </c>
      <c r="T4">
        <f>IFERROR(N(Scorecard!$B$15),"")</f>
        <v/>
      </c>
      <c r="U4">
        <f>IFERROR(N(Scorecard!$D$15),"")</f>
        <v/>
      </c>
    </row>
    <row r="5">
      <c r="P5" s="103">
        <f>Scorecard!$A$23</f>
        <v/>
      </c>
      <c r="Q5" s="103">
        <f>SUMIFS(Questions!$M$3:$M$45,Questions!$Q$3:$Q$45,$P5)</f>
        <v/>
      </c>
      <c r="R5" s="103">
        <f>IFERROR(N($Q5)*100+(5-N(Scorecard!$B$23)),0)</f>
        <v/>
      </c>
      <c r="S5" s="103">
        <f>RANK($R5,$R$2:$R$8,0)+COUNTIF($R$2:$R5,$R5)-1</f>
        <v/>
      </c>
      <c r="T5">
        <f>IFERROR(N(Scorecard!$B$23),"")</f>
        <v/>
      </c>
      <c r="U5">
        <f>IFERROR(N(Scorecard!$D$23),"")</f>
        <v/>
      </c>
    </row>
    <row r="6" ht="24" customHeight="1" s="215">
      <c r="B6" s="238" t="inlineStr">
        <is>
          <t>CURRENT STATE</t>
        </is>
      </c>
      <c r="C6" s="230" t="n"/>
      <c r="D6" s="231" t="n"/>
      <c r="F6" s="244" t="inlineStr">
        <is>
          <t>WHAT YOU ARE ASKING</t>
        </is>
      </c>
      <c r="G6" s="230" t="n"/>
      <c r="H6" s="231" t="n"/>
      <c r="J6" s="244">
        <f>"FUTURE POTENTIAL STATE"&amp;"   -   after "&amp;TEXT(Intake!$H$18,"0")&amp;" months"</f>
        <v/>
      </c>
      <c r="K6" s="230" t="n"/>
      <c r="L6" s="231" t="n"/>
      <c r="P6" s="103">
        <f>Scorecard!$A$27</f>
        <v/>
      </c>
      <c r="Q6" s="103">
        <f>SUMIFS(Questions!$M$3:$M$45,Questions!$Q$3:$Q$45,$P6)</f>
        <v/>
      </c>
      <c r="R6" s="103">
        <f>IFERROR(N($Q6)*100+(5-N(Scorecard!$B$27)),0)</f>
        <v/>
      </c>
      <c r="S6" s="103">
        <f>RANK($R6,$R$2:$R$8,0)+COUNTIF($R$2:$R6,$R6)-1</f>
        <v/>
      </c>
      <c r="T6">
        <f>IFERROR(N(Scorecard!$B$27),"")</f>
        <v/>
      </c>
      <c r="U6">
        <f>IFERROR(N(Scorecard!$D$27),"")</f>
        <v/>
      </c>
    </row>
    <row r="7" ht="42" customHeight="1" s="215">
      <c r="B7" s="243">
        <f>IF(N(Intake!$D$20)=0,"Enter the earnings on Intake",TEXT(MAX(0,Engine!$B$30-$W$1),"0.0")&amp;" - "&amp;TEXT(Engine!$B$30+$W$1,"0.0")&amp;"x")</f>
        <v/>
      </c>
      <c r="C7" s="230" t="n"/>
      <c r="D7" s="231" t="n"/>
      <c r="F7" s="243">
        <f>IF(N(Intake!$H$17)=0,"No price given",TEXT(IFERROR(N(Intake!$H$17)/N(Intake!$D$20),0),"0.0")&amp;"x")</f>
        <v/>
      </c>
      <c r="G7" s="230" t="n"/>
      <c r="H7" s="231" t="n"/>
      <c r="J7" s="243">
        <f>IF(N(Intake!$D$20)=0,"Enter the earnings on Intake",TEXT(MAX(0,Engine!$C$30-$W$1),"0.0")&amp;" - "&amp;TEXT(Engine!$C$30+$W$1,"0.0")&amp;"x")</f>
        <v/>
      </c>
      <c r="K7" s="230" t="n"/>
      <c r="L7" s="231" t="n"/>
      <c r="P7" s="103">
        <f>Scorecard!$A$32</f>
        <v/>
      </c>
      <c r="Q7" s="103">
        <f>SUMIFS(Questions!$M$3:$M$45,Questions!$Q$3:$Q$45,$P7)</f>
        <v/>
      </c>
      <c r="R7" s="103">
        <f>IFERROR(N($Q7)*100+(5-N(Scorecard!$B$32)),0)</f>
        <v/>
      </c>
      <c r="S7" s="103">
        <f>RANK($R7,$R$2:$R$8,0)+COUNTIF($R$2:$R7,$R7)-1</f>
        <v/>
      </c>
      <c r="T7">
        <f>IFERROR(N(Scorecard!$B$32),"")</f>
        <v/>
      </c>
      <c r="U7">
        <f>IFERROR(N(Scorecard!$D$32),"")</f>
        <v/>
      </c>
    </row>
    <row r="8" ht="47" customHeight="1" s="215">
      <c r="B8" s="240">
        <f>"Sellability: "&amp;Engine!$B$31&amp;CHAR(10)&amp;TEXT(Engine!$B$32,"0%")&amp;" probability of a sale"</f>
        <v/>
      </c>
      <c r="C8" s="230" t="n"/>
      <c r="D8" s="231" t="n"/>
      <c r="F8" s="240">
        <f>IF(N(Intake!$H$17)=0,"Enter the price they want on Intake",IF(IFERROR(N(Intake!$H$17)/N(Intake!$D$20),0)&lt;=IFERROR(INDEX('Industry Data'!$G$8:$G$9,MATCH(Intake!$D$19,'Industry Data'!$A$8:$A$9,0)),0),"Within what this industry pays","Above the best this industry pays"))</f>
        <v/>
      </c>
      <c r="G8" s="230" t="n"/>
      <c r="H8" s="231" t="n"/>
      <c r="J8" s="240">
        <f>"Sellability: "&amp;Engine!$C$31&amp;CHAR(10)&amp;TEXT(Engine!$C$32,"0%")&amp;" probability of a sale"</f>
        <v/>
      </c>
      <c r="K8" s="230" t="n"/>
      <c r="L8" s="231" t="n"/>
      <c r="P8" s="103" t="n"/>
      <c r="Q8" s="103" t="n"/>
      <c r="R8" s="103" t="n"/>
      <c r="S8" s="103" t="n"/>
    </row>
    <row r="9" ht="22" customHeight="1" s="215">
      <c r="B9" s="232">
        <f>IF(N(Intake!$D$20)=0,"",TEXT(MAX(0,Engine!$B$30-$W$1)*Intake!$D$20,"#,##0")&amp;"  -  "&amp;TEXT((Engine!$B$30+$W$1)*Intake!$D$20,"#,##0")&amp;"  on today's earnings")</f>
        <v/>
      </c>
      <c r="C9" s="230" t="n"/>
      <c r="D9" s="231" t="n"/>
      <c r="F9" s="232">
        <f>IF(N(Intake!$H$17)=0,"",TEXT(Intake!$H$17,"#,##0"))</f>
        <v/>
      </c>
      <c r="G9" s="230" t="n"/>
      <c r="H9" s="231" t="n"/>
      <c r="J9" s="232">
        <f>IF(N(Intake!$D$20)=0,"",TEXT(MAX(0,Engine!$C$30-$W$1)*Intake!$D$20,"#,##0")&amp;"  -  "&amp;TEXT((Engine!$C$30+$W$1)*Intake!$D$20,"#,##0")&amp;"  on today's earnings")</f>
        <v/>
      </c>
      <c r="K9" s="230" t="n"/>
      <c r="L9" s="231" t="n"/>
    </row>
    <row r="10"/>
    <row r="11" ht="24" customHeight="1" s="215">
      <c r="B11" s="237">
        <f>"Fixing what is on the Scorecard moves the multiple from "&amp;TEXT(Engine!$B$30,"0.0")&amp;"x to "&amp;TEXT(Engine!$C$30,"0.0")&amp;"x  -  roughly "&amp;TEXT(IFERROR(Engine!$C$30/Engine!$B$30,0),"0.0")&amp;" times today"</f>
        <v/>
      </c>
      <c r="C11" s="230" t="n"/>
      <c r="D11" s="230" t="n"/>
      <c r="E11" s="230" t="n"/>
      <c r="F11" s="230" t="n"/>
      <c r="G11" s="230" t="n"/>
      <c r="H11" s="230" t="n"/>
      <c r="I11" s="230" t="n"/>
      <c r="J11" s="230" t="n"/>
      <c r="K11" s="230" t="n"/>
      <c r="L11" s="231" t="n"/>
    </row>
    <row r="12"/>
    <row r="13" ht="24" customHeight="1" s="215">
      <c r="B13" s="239" t="inlineStr">
        <is>
          <t>What is currently holding it back</t>
        </is>
      </c>
      <c r="C13" s="230" t="n"/>
      <c r="D13" s="230" t="n"/>
      <c r="E13" s="230" t="n"/>
      <c r="F13" s="230" t="n"/>
      <c r="G13" s="230" t="n"/>
      <c r="H13" s="230" t="n"/>
      <c r="I13" s="230" t="n"/>
      <c r="J13" s="230" t="n"/>
      <c r="K13" s="230" t="n"/>
      <c r="L13" s="231" t="n"/>
    </row>
    <row r="14" ht="22" customHeight="1" s="215">
      <c r="B14" s="233">
        <f>IFERROR(INDEX($P$2:$P$8,MATCH(1,$S$2:$S$8,0)),"")</f>
        <v/>
      </c>
      <c r="C14" s="230" t="n"/>
      <c r="D14" s="230" t="n"/>
      <c r="E14" s="231" t="n"/>
      <c r="F14" s="235">
        <f>IFERROR(IF(INDEX($Q$2:$Q$8,MATCH(1,$S$2:$S$8,0))&gt;0,INDEX($Q$2:$Q$8,MATCH(1,$S$2:$S$8,0))&amp;" deal-killer(s) tripped here  -  each one takes its own share off the multiple.   ","")&amp;"Risk score "&amp;TEXT(INDEX($T$2:$T$8,MATCH(1,$S$2:$S$8,0)),"0.0")&amp;"   /   Multiple score "&amp;TEXT(INDEX($U$2:$U$8,MATCH(1,$S$2:$S$8,0)),"0.0")&amp;"   out of 5 today","")</f>
        <v/>
      </c>
      <c r="G14" s="230" t="n"/>
      <c r="H14" s="230" t="n"/>
      <c r="I14" s="230" t="n"/>
      <c r="J14" s="230" t="n"/>
      <c r="K14" s="230" t="n"/>
      <c r="L14" s="231" t="n"/>
    </row>
    <row r="15" ht="22" customHeight="1" s="215">
      <c r="B15" s="233">
        <f>IFERROR(INDEX($P$2:$P$8,MATCH(2,$S$2:$S$8,0)),"")</f>
        <v/>
      </c>
      <c r="C15" s="230" t="n"/>
      <c r="D15" s="230" t="n"/>
      <c r="E15" s="231" t="n"/>
      <c r="F15" s="235">
        <f>IFERROR(IF(INDEX($Q$2:$Q$8,MATCH(2,$S$2:$S$8,0))&gt;0,INDEX($Q$2:$Q$8,MATCH(2,$S$2:$S$8,0))&amp;" deal-killer(s) tripped here  -  each one takes its own share off the multiple.   ","")&amp;"Risk score "&amp;TEXT(INDEX($T$2:$T$8,MATCH(2,$S$2:$S$8,0)),"0.0")&amp;"   /   Multiple score "&amp;TEXT(INDEX($U$2:$U$8,MATCH(2,$S$2:$S$8,0)),"0.0")&amp;"   out of 5 today","")</f>
        <v/>
      </c>
      <c r="G15" s="230" t="n"/>
      <c r="H15" s="230" t="n"/>
      <c r="I15" s="230" t="n"/>
      <c r="J15" s="230" t="n"/>
      <c r="K15" s="230" t="n"/>
      <c r="L15" s="231" t="n"/>
    </row>
    <row r="16" ht="22" customHeight="1" s="215">
      <c r="B16" s="233">
        <f>IFERROR(INDEX($P$2:$P$8,MATCH(3,$S$2:$S$8,0)),"")</f>
        <v/>
      </c>
      <c r="C16" s="230" t="n"/>
      <c r="D16" s="230" t="n"/>
      <c r="E16" s="231" t="n"/>
      <c r="F16" s="235">
        <f>IFERROR(IF(INDEX($Q$2:$Q$8,MATCH(3,$S$2:$S$8,0))&gt;0,INDEX($Q$2:$Q$8,MATCH(3,$S$2:$S$8,0))&amp;" deal-killer(s) tripped here  -  each one takes its own share off the multiple.   ","")&amp;"Risk score "&amp;TEXT(INDEX($T$2:$T$8,MATCH(3,$S$2:$S$8,0)),"0.0")&amp;"   /   Multiple score "&amp;TEXT(INDEX($U$2:$U$8,MATCH(3,$S$2:$S$8,0)),"0.0")&amp;"   out of 5 today","")</f>
        <v/>
      </c>
      <c r="G16" s="230" t="n"/>
      <c r="H16" s="230" t="n"/>
      <c r="I16" s="230" t="n"/>
      <c r="J16" s="230" t="n"/>
      <c r="K16" s="230" t="n"/>
      <c r="L16" s="231" t="n"/>
    </row>
    <row r="17" ht="22" customHeight="1" s="215">
      <c r="B17" s="233">
        <f>IFERROR(INDEX($P$2:$P$8,MATCH(4,$S$2:$S$8,0)),"")</f>
        <v/>
      </c>
      <c r="C17" s="230" t="n"/>
      <c r="D17" s="230" t="n"/>
      <c r="E17" s="231" t="n"/>
      <c r="F17" s="235">
        <f>IFERROR(IF(INDEX($Q$2:$Q$8,MATCH(4,$S$2:$S$8,0))&gt;0,INDEX($Q$2:$Q$8,MATCH(4,$S$2:$S$8,0))&amp;" deal-killer(s) tripped here  -  each one takes its own share off the multiple.   ","")&amp;"Risk score "&amp;TEXT(INDEX($T$2:$T$8,MATCH(4,$S$2:$S$8,0)),"0.0")&amp;"   /   Multiple score "&amp;TEXT(INDEX($U$2:$U$8,MATCH(4,$S$2:$S$8,0)),"0.0")&amp;"   out of 5 today","")</f>
        <v/>
      </c>
      <c r="G17" s="230" t="n"/>
      <c r="H17" s="230" t="n"/>
      <c r="I17" s="230" t="n"/>
      <c r="J17" s="230" t="n"/>
      <c r="K17" s="230" t="n"/>
      <c r="L17" s="231" t="n"/>
      <c r="M17" s="261" t="n"/>
      <c r="N17" s="261" t="n"/>
    </row>
    <row r="18" ht="22" customHeight="1" s="215">
      <c r="B18" s="233">
        <f>IFERROR(INDEX($P$2:$P$8,MATCH(5,$S$2:$S$8,0)),"")</f>
        <v/>
      </c>
      <c r="C18" s="230" t="n"/>
      <c r="D18" s="230" t="n"/>
      <c r="E18" s="231" t="n"/>
      <c r="F18" s="235">
        <f>IFERROR(IF(INDEX($Q$2:$Q$8,MATCH(5,$S$2:$S$8,0))&gt;0,INDEX($Q$2:$Q$8,MATCH(5,$S$2:$S$8,0))&amp;" deal-killer(s) tripped here  -  each one takes its own share off the multiple.   ","")&amp;"Risk score "&amp;TEXT(INDEX($T$2:$T$8,MATCH(5,$S$2:$S$8,0)),"0.0")&amp;"   /   Multiple score "&amp;TEXT(INDEX($U$2:$U$8,MATCH(5,$S$2:$S$8,0)),"0.0")&amp;"   out of 5 today","")</f>
        <v/>
      </c>
      <c r="G18" s="230" t="n"/>
      <c r="H18" s="230" t="n"/>
      <c r="I18" s="230" t="n"/>
      <c r="J18" s="230" t="n"/>
      <c r="K18" s="230" t="n"/>
      <c r="L18" s="231" t="n"/>
      <c r="M18" s="261" t="n"/>
      <c r="N18" s="261" t="n"/>
    </row>
    <row r="19">
      <c r="B19" s="261" t="n"/>
      <c r="C19" s="261" t="n"/>
      <c r="D19" s="261" t="n"/>
      <c r="E19" s="261" t="n"/>
      <c r="F19" s="261" t="n"/>
      <c r="G19" s="261" t="n"/>
      <c r="H19" s="261" t="n"/>
      <c r="I19" s="261" t="n"/>
      <c r="J19" s="261" t="n"/>
      <c r="K19" s="261" t="n"/>
      <c r="L19" s="261" t="n"/>
      <c r="M19" s="261" t="n"/>
      <c r="N19" s="261" t="n"/>
    </row>
    <row r="20" ht="24" customHeight="1" s="215">
      <c r="B20" s="237" t="inlineStr">
        <is>
          <t>What doing nothing costs</t>
        </is>
      </c>
      <c r="C20" s="230" t="n"/>
      <c r="D20" s="230" t="n"/>
      <c r="E20" s="230" t="n"/>
      <c r="F20" s="230" t="n"/>
      <c r="G20" s="230" t="n"/>
      <c r="H20" s="230" t="n"/>
      <c r="I20" s="230" t="n"/>
      <c r="J20" s="230" t="n"/>
      <c r="K20" s="230" t="n"/>
      <c r="L20" s="231" t="n"/>
      <c r="M20" s="261" t="n"/>
      <c r="N20" s="261" t="n"/>
    </row>
    <row r="21" ht="34" customHeight="1" s="215">
      <c r="B21" s="242">
        <f>"Businesses in this condition have a "&amp;LOWER(LEFT(Engine!$D$32,FIND(" probability",Engine!$D$32)-1))&amp;" probability of selling.   Prepared, it becomes "&amp;LOWER(LEFT(Engine!$E$32,FIND(" probability",Engine!$E$32)-1))&amp;"."</f>
        <v/>
      </c>
      <c r="C21" s="230" t="n"/>
      <c r="D21" s="230" t="n"/>
      <c r="E21" s="230" t="n"/>
      <c r="F21" s="230" t="n"/>
      <c r="G21" s="230" t="n"/>
      <c r="H21" s="230" t="n"/>
      <c r="I21" s="230" t="n"/>
      <c r="J21" s="230" t="n"/>
      <c r="K21" s="230" t="n"/>
      <c r="L21" s="231" t="n"/>
      <c r="M21" s="261" t="n"/>
      <c r="N21" s="261" t="n"/>
    </row>
    <row r="22">
      <c r="B22" s="261" t="n"/>
      <c r="C22" s="261" t="n"/>
      <c r="D22" s="261" t="n"/>
      <c r="E22" s="261" t="n"/>
      <c r="F22" s="261" t="n"/>
      <c r="G22" s="261" t="n"/>
      <c r="H22" s="261" t="n"/>
      <c r="I22" s="261" t="n"/>
      <c r="J22" s="261" t="n"/>
      <c r="K22" s="261" t="n"/>
      <c r="L22" s="261" t="n"/>
      <c r="M22" s="261" t="n"/>
      <c r="N22" s="261" t="n"/>
    </row>
    <row r="23" ht="24" customHeight="1" s="215">
      <c r="B23" s="237" t="inlineStr">
        <is>
          <t>What you are asking for, in the same units</t>
        </is>
      </c>
      <c r="C23" s="230" t="n"/>
      <c r="D23" s="230" t="n"/>
      <c r="E23" s="230" t="n"/>
      <c r="F23" s="230" t="n"/>
      <c r="G23" s="230" t="n"/>
      <c r="H23" s="230" t="n"/>
      <c r="I23" s="230" t="n"/>
      <c r="J23" s="230" t="n"/>
      <c r="K23" s="230" t="n"/>
      <c r="L23" s="231" t="n"/>
      <c r="M23" s="261" t="n"/>
      <c r="N23" s="261" t="n"/>
    </row>
    <row r="24" ht="22" customHeight="1" s="215">
      <c r="B24" s="234" t="inlineStr">
        <is>
          <t>The price you told us you want</t>
        </is>
      </c>
      <c r="C24" s="230" t="n"/>
      <c r="D24" s="230" t="n"/>
      <c r="E24" s="231" t="n"/>
      <c r="F24" s="233">
        <f>IF(N(Intake!$H$17)=0,"not given",TEXT(Intake!$H$17/Intake!$D$20,"0.0")&amp;"x your earnings")</f>
        <v/>
      </c>
      <c r="G24" s="230" t="n"/>
      <c r="H24" s="230" t="n"/>
      <c r="I24" s="230" t="n"/>
      <c r="J24" s="230" t="n"/>
      <c r="K24" s="230" t="n"/>
      <c r="L24" s="231" t="n"/>
      <c r="M24" s="261" t="n"/>
      <c r="N24" s="261" t="n"/>
    </row>
    <row r="25" ht="22" customHeight="1" s="215">
      <c r="B25" s="234" t="inlineStr">
        <is>
          <t>The best multiple this industry pays</t>
        </is>
      </c>
      <c r="C25" s="230" t="n"/>
      <c r="D25" s="230" t="n"/>
      <c r="E25" s="231" t="n"/>
      <c r="F25" s="233">
        <f>IFERROR(TEXT(INDEX('Industry Data'!$G$8:$G$9,MATCH(Intake!$D$19,'Industry Data'!$A$8:$A$9,0)),"0.0")&amp;"x  -  the 90th percentile","")</f>
        <v/>
      </c>
      <c r="G25" s="230" t="n"/>
      <c r="H25" s="230" t="n"/>
      <c r="I25" s="230" t="n"/>
      <c r="J25" s="230" t="n"/>
      <c r="K25" s="230" t="n"/>
      <c r="L25" s="231" t="n"/>
      <c r="M25" s="261" t="n"/>
      <c r="N25" s="261" t="n"/>
    </row>
    <row r="26" ht="22" customHeight="1" s="215">
      <c r="B26" s="234" t="inlineStr">
        <is>
          <t>Where this business could realistically get to</t>
        </is>
      </c>
      <c r="C26" s="230" t="n"/>
      <c r="D26" s="230" t="n"/>
      <c r="E26" s="231" t="n"/>
      <c r="F26" s="233">
        <f>TEXT(Engine!$C$30,"0.0")&amp;"x"</f>
        <v/>
      </c>
      <c r="G26" s="230" t="n"/>
      <c r="H26" s="230" t="n"/>
      <c r="I26" s="230" t="n"/>
      <c r="J26" s="230" t="n"/>
      <c r="K26" s="230" t="n"/>
      <c r="L26" s="231" t="n"/>
      <c r="M26" s="261" t="n"/>
      <c r="N26" s="261" t="n"/>
    </row>
    <row r="27" ht="22" customHeight="1" s="215">
      <c r="B27" s="234" t="inlineStr">
        <is>
          <t>Is the asking price reachable</t>
        </is>
      </c>
      <c r="C27" s="230" t="n"/>
      <c r="D27" s="230" t="n"/>
      <c r="E27" s="231" t="n"/>
      <c r="F27" s="233">
        <f>IF(N(Intake!$H$17)=0,"Enter it on Intake",IF(Intake!$H$17/Intake!$D$20&lt;=Engine!$C$30,"Yes  -  prepared work gets you there","No  -  the expectation is the gap, not the business"))</f>
        <v/>
      </c>
      <c r="G27" s="230" t="n"/>
      <c r="H27" s="230" t="n"/>
      <c r="I27" s="230" t="n"/>
      <c r="J27" s="230" t="n"/>
      <c r="K27" s="230" t="n"/>
      <c r="L27" s="231" t="n"/>
      <c r="M27" s="261" t="n"/>
      <c r="N27" s="261" t="n"/>
    </row>
    <row r="28" ht="22" customHeight="1" s="215">
      <c r="B28" s="234" t="inlineStr">
        <is>
          <t>If he sells it as it stands</t>
        </is>
      </c>
      <c r="C28" s="230" t="n"/>
      <c r="D28" s="230" t="n"/>
      <c r="E28" s="231" t="n"/>
      <c r="F28" s="233">
        <f>IF(N(Intake!$D$20)=0,"Enter the earnings on Intake",TEXT(Intake!$D$20*Engine!$B$30,"#,##0")&amp;"   x   "&amp;TEXT(Engine!$B$32,"0%")&amp;" chance of completing   =   "&amp;TEXT(Intake!$D$20*Engine!$B$30*Engine!$B$32,"#,##0"))</f>
        <v/>
      </c>
      <c r="G28" s="230" t="n"/>
      <c r="H28" s="230" t="n"/>
      <c r="I28" s="230" t="n"/>
      <c r="J28" s="230" t="n"/>
      <c r="K28" s="230" t="n"/>
      <c r="L28" s="231" t="n"/>
      <c r="M28" s="261" t="n"/>
      <c r="N28" s="261" t="n"/>
    </row>
    <row r="29" ht="22" customHeight="1" s="215">
      <c r="B29" s="234" t="inlineStr">
        <is>
          <t>If he sells it after the work</t>
        </is>
      </c>
      <c r="C29" s="230" t="n"/>
      <c r="D29" s="230" t="n"/>
      <c r="E29" s="231" t="n"/>
      <c r="F29" s="233">
        <f>IF(N(Intake!$D$20)=0,"",TEXT(N(Intake!$D$20)*N(Engine!$C$30),"#,##0")&amp;"   x   "&amp;TEXT(Engine!$C$32,"0%")&amp;" chance of completing   =   "&amp;TEXT(N(Intake!$D$20)*N(Engine!$C$30)*N(Engine!$C$32),"#,##0"))</f>
        <v/>
      </c>
      <c r="G29" s="230" t="n"/>
      <c r="H29" s="230" t="n"/>
      <c r="I29" s="230" t="n"/>
      <c r="J29" s="230" t="n"/>
      <c r="K29" s="230" t="n"/>
      <c r="L29" s="231" t="n"/>
      <c r="M29" s="261" t="n"/>
      <c r="N29" s="261" t="n"/>
    </row>
    <row r="30" ht="22" customHeight="1" s="215">
      <c r="B30" s="234" t="inlineStr">
        <is>
          <t>What the work is worth, allowing for the chance of a sale</t>
        </is>
      </c>
      <c r="C30" s="230" t="n"/>
      <c r="D30" s="230" t="n"/>
      <c r="E30" s="231" t="n"/>
      <c r="F30" s="233">
        <f>IF(N(Intake!$D$20)=0,"","about "&amp;TEXT(MAX(0,N(Intake!$D$20)*N(Engine!$C$30)*N(Engine!$C$32)-N(Intake!$D$20)*N(Engine!$B$30)*N(Engine!$B$32)),"#,##0")&amp;" more than doing nothing")</f>
        <v/>
      </c>
      <c r="G30" s="230" t="n"/>
      <c r="H30" s="230" t="n"/>
      <c r="I30" s="230" t="n"/>
      <c r="J30" s="230" t="n"/>
      <c r="K30" s="230" t="n"/>
      <c r="L30" s="231" t="n"/>
      <c r="M30" s="261" t="n"/>
      <c r="N30" s="261" t="n"/>
    </row>
    <row r="31">
      <c r="B31" s="261" t="n"/>
      <c r="C31" s="261" t="n"/>
      <c r="D31" s="261" t="n"/>
      <c r="E31" s="261" t="n"/>
      <c r="F31" s="261" t="n"/>
      <c r="G31" s="261" t="n"/>
      <c r="H31" s="261" t="n"/>
      <c r="I31" s="261" t="n"/>
      <c r="J31" s="261" t="n"/>
      <c r="K31" s="261" t="n"/>
      <c r="L31" s="261" t="n"/>
      <c r="M31" s="261" t="n"/>
      <c r="N31" s="261" t="n"/>
    </row>
    <row r="32" ht="20" customHeight="1" s="215">
      <c r="B32" s="246">
        <f>"Ranges from "&amp;TEXT(IFERROR(INDEX('Industry Data'!$B$8:$B$9,MATCH(Intake!$D$19,'Industry Data'!$A$8:$A$9,0)),0),"0")&amp;" recorded sales of businesses in this industry.   "&amp;'Industry Data'!$B$5&amp;"."</f>
        <v/>
      </c>
      <c r="M32" s="261" t="n"/>
      <c r="N32" s="261" t="n"/>
    </row>
    <row r="33" ht="46" customHeight="1" s="215">
      <c r="B33" s="246" t="inlineStr">
        <is>
          <t>Not a valuation and not an appraisal. These are the multiple ranges businesses in this industry have actually sold at, read against how ready this business is to be handed over. What a buyer pays depends on who the buyer is, what else is for sale, and how the business looks on the day.</t>
        </is>
      </c>
      <c r="M33" s="261" t="n"/>
      <c r="N33" s="261" t="n"/>
    </row>
    <row r="34">
      <c r="B34" s="261" t="n"/>
      <c r="C34" s="261" t="n"/>
      <c r="D34" s="261" t="n"/>
      <c r="E34" s="261" t="n"/>
      <c r="F34" s="261" t="n"/>
      <c r="G34" s="261" t="n"/>
      <c r="H34" s="261" t="n"/>
      <c r="I34" s="261" t="n"/>
      <c r="J34" s="261" t="n"/>
      <c r="K34" s="261" t="n"/>
      <c r="L34" s="261" t="n"/>
      <c r="M34" s="261" t="n"/>
      <c r="N34" s="261" t="n"/>
    </row>
    <row r="35" ht="22" customHeight="1" s="215">
      <c r="B35" s="245" t="inlineStr">
        <is>
          <t>Next step:  a full readiness assessment and a phased plan against the months you have.</t>
        </is>
      </c>
      <c r="M35" s="261" t="n"/>
      <c r="N35" s="261" t="n"/>
    </row>
  </sheetData>
  <mergeCells count="48">
    <mergeCell ref="B35:L35"/>
    <mergeCell ref="B4:L4"/>
    <mergeCell ref="J6:L6"/>
    <mergeCell ref="F28:L28"/>
    <mergeCell ref="F27:L27"/>
    <mergeCell ref="B8:D8"/>
    <mergeCell ref="B3:F3"/>
    <mergeCell ref="B30:E30"/>
    <mergeCell ref="F8:H8"/>
    <mergeCell ref="B15:E15"/>
    <mergeCell ref="B24:E24"/>
    <mergeCell ref="J7:L7"/>
    <mergeCell ref="B26:E26"/>
    <mergeCell ref="F14:L14"/>
    <mergeCell ref="B21:L21"/>
    <mergeCell ref="B11:L11"/>
    <mergeCell ref="B16:E16"/>
    <mergeCell ref="B2:L2"/>
    <mergeCell ref="B9:D9"/>
    <mergeCell ref="F29:L29"/>
    <mergeCell ref="B25:E25"/>
    <mergeCell ref="F9:H9"/>
    <mergeCell ref="F16:L16"/>
    <mergeCell ref="J3:L3"/>
    <mergeCell ref="B23:L23"/>
    <mergeCell ref="B6:D6"/>
    <mergeCell ref="F25:L25"/>
    <mergeCell ref="B27:E27"/>
    <mergeCell ref="B18:E18"/>
    <mergeCell ref="B13:L13"/>
    <mergeCell ref="F30:L30"/>
    <mergeCell ref="J8:L8"/>
    <mergeCell ref="F24:L24"/>
    <mergeCell ref="F15:L15"/>
    <mergeCell ref="B7:D7"/>
    <mergeCell ref="B14:E14"/>
    <mergeCell ref="F18:L18"/>
    <mergeCell ref="B17:E17"/>
    <mergeCell ref="F6:H6"/>
    <mergeCell ref="F26:L26"/>
    <mergeCell ref="F17:L17"/>
    <mergeCell ref="B33:L33"/>
    <mergeCell ref="B20:L20"/>
    <mergeCell ref="B29:E29"/>
    <mergeCell ref="F7:H7"/>
    <mergeCell ref="J9:L9"/>
    <mergeCell ref="B32:L32"/>
    <mergeCell ref="B28:E28"/>
  </mergeCells>
  <pageMargins left="0.75" right="0.75" top="1" bottom="1" header="0.5" footer="0.5"/>
</worksheet>
</file>

<file path=xl/worksheets/sheet4.xml><?xml version="1.0" encoding="utf-8"?>
<worksheet xmlns="http://schemas.openxmlformats.org/spreadsheetml/2006/main">
  <sheetPr codeName="Sheet4">
    <outlinePr summaryBelow="1" summaryRight="1"/>
    <pageSetUpPr fitToPage="1"/>
  </sheetPr>
  <dimension ref="A1:Y120"/>
  <sheetViews>
    <sheetView showGridLines="0" tabSelected="1" topLeftCell="A5" workbookViewId="0">
      <selection activeCell="S35" sqref="S35"/>
    </sheetView>
  </sheetViews>
  <sheetFormatPr baseColWidth="10" defaultColWidth="9" defaultRowHeight="14"/>
  <cols>
    <col width="2" customWidth="1" style="215" min="1" max="1"/>
    <col width="28" customWidth="1" style="215" min="2" max="2"/>
    <col width="14" customWidth="1" style="215" min="3" max="4"/>
    <col width="13" customWidth="1" style="215" min="5" max="5"/>
    <col width="2" customWidth="1" style="215" min="6" max="6"/>
    <col width="28" customWidth="1" style="215" min="7" max="7"/>
    <col width="14" customWidth="1" style="215" min="8" max="9"/>
    <col width="13" customWidth="1" style="215" min="10" max="10"/>
    <col width="2" customWidth="1" style="215" min="11" max="11"/>
    <col width="28" customWidth="1" style="215" min="12" max="12"/>
    <col width="14" customWidth="1" style="215" min="13" max="14"/>
    <col width="13" customWidth="1" style="215" min="15" max="15"/>
    <col width="2" customWidth="1" style="215" min="16" max="16"/>
    <col width="28" customWidth="1" style="215" min="17" max="17"/>
    <col width="14" customWidth="1" style="215" min="18" max="19"/>
    <col width="13" customWidth="1" style="215" min="20" max="20"/>
    <col width="2" customWidth="1" style="215" min="21" max="21"/>
    <col hidden="1" width="14" customWidth="1" style="215" min="23" max="23"/>
    <col hidden="1" width="13" customWidth="1" style="215" min="24" max="25"/>
  </cols>
  <sheetData>
    <row r="1">
      <c r="W1" s="52" t="inlineStr">
        <is>
          <t>Growth steps</t>
        </is>
      </c>
      <c r="X1" s="52" t="inlineStr">
        <is>
          <t>Multiple steps</t>
        </is>
      </c>
    </row>
    <row r="2" ht="32" customHeight="1" s="215">
      <c r="B2" s="247" t="inlineStr">
        <is>
          <t>Value Gap &amp; Sellability Analysis</t>
        </is>
      </c>
      <c r="W2" s="5" t="n">
        <v>-0.3</v>
      </c>
      <c r="X2" s="8" t="n">
        <v>0.5</v>
      </c>
      <c r="Y2" s="5" t="n">
        <v>-0.15</v>
      </c>
    </row>
    <row r="3">
      <c r="B3" s="93">
        <f>IF(Intake!$D$5="","",Intake!$D$5)</f>
        <v/>
      </c>
      <c r="Q3" s="94">
        <f>IF(Intake!$H$23="","",TEXT(Intake!$H$23,"d mmmm yyyy"))</f>
        <v/>
      </c>
      <c r="W3" s="5" t="n">
        <v>-0.25</v>
      </c>
      <c r="X3" s="8" t="n">
        <v>0.75</v>
      </c>
      <c r="Y3" s="5" t="n">
        <v>-0.14</v>
      </c>
    </row>
    <row r="4" ht="22" customHeight="1" s="215">
      <c r="B4" s="254" t="inlineStr">
        <is>
          <t>Current Indicated EV (Enterprise Value)</t>
        </is>
      </c>
      <c r="L4" s="254" t="inlineStr">
        <is>
          <t>Desired EV</t>
        </is>
      </c>
      <c r="Q4" s="254" t="inlineStr">
        <is>
          <t>Future Potential EV</t>
        </is>
      </c>
      <c r="W4" s="5" t="n">
        <v>-0.2</v>
      </c>
      <c r="X4" s="8" t="n">
        <v>1</v>
      </c>
      <c r="Y4" s="5" t="n">
        <v>-0.13</v>
      </c>
    </row>
    <row r="5" ht="36" customHeight="1" s="215">
      <c r="B5" s="250">
        <f>Intake!$D$20*Engine!$B$30</f>
        <v/>
      </c>
      <c r="C5" s="211" t="n"/>
      <c r="D5" s="211" t="n"/>
      <c r="E5" s="209" t="n"/>
      <c r="G5" s="257" t="inlineStr">
        <is>
          <t>Value Uplift With Exit Preparation -&gt;</t>
        </is>
      </c>
      <c r="H5" s="211" t="n"/>
      <c r="I5" s="211" t="n"/>
      <c r="J5" s="209" t="n"/>
      <c r="L5" s="250">
        <f>Intake!$H$17</f>
        <v/>
      </c>
      <c r="M5" s="211" t="n"/>
      <c r="N5" s="211" t="n"/>
      <c r="O5" s="209" t="n"/>
      <c r="Q5" s="250">
        <f>$S$19</f>
        <v/>
      </c>
      <c r="R5" s="211" t="n"/>
      <c r="S5" s="211" t="n"/>
      <c r="T5" s="209" t="n"/>
      <c r="W5" s="5" t="n">
        <v>-0.15</v>
      </c>
      <c r="X5" s="8" t="n">
        <v>1.25</v>
      </c>
      <c r="Y5" s="5" t="n">
        <v>-0.12</v>
      </c>
    </row>
    <row r="6" ht="34" customHeight="1" s="215">
      <c r="B6" s="300">
        <f>"Sellability: "&amp;Engine!$B$31&amp;CHAR(10)&amp;TEXT(Engine!$B$32,"0%")&amp;" probability of a sale"</f>
        <v/>
      </c>
      <c r="C6" s="211" t="n"/>
      <c r="D6" s="211" t="n"/>
      <c r="E6" s="209" t="n"/>
      <c r="G6" s="251">
        <f>TEXT($S$19-$B$5,"#,##0")</f>
        <v/>
      </c>
      <c r="H6" s="211" t="n"/>
      <c r="I6" s="211" t="n"/>
      <c r="J6" s="209" t="n"/>
      <c r="L6" s="255">
        <f>IF(N(Intake!$H$17)=0,"Enter a desired sale price on Intake",IF($Q$5&gt;=$L$5,"Ahead of the desired price by   "&amp;TEXT($Q$5-$L$5,"#,##0"),"Short of the desired price by   "&amp;TEXT($L$5-$Q$5,"#,##0")))</f>
        <v/>
      </c>
      <c r="M6" s="211" t="n"/>
      <c r="N6" s="211" t="n"/>
      <c r="O6" s="209" t="n"/>
      <c r="Q6" s="297">
        <f>"Sellability: "&amp;Engine!$C$31&amp;CHAR(10)&amp;TEXT(Engine!$C$32,"0%")&amp;" probability of a sale"</f>
        <v/>
      </c>
      <c r="R6" s="211" t="n"/>
      <c r="S6" s="211" t="n"/>
      <c r="T6" s="209" t="n"/>
      <c r="W6" s="5" t="n">
        <v>-0.1</v>
      </c>
      <c r="X6" s="8" t="n">
        <v>1.5</v>
      </c>
      <c r="Y6" s="5" t="n">
        <v>-0.11</v>
      </c>
    </row>
    <row r="7">
      <c r="B7" s="253">
        <f>IF(Intake!$D$19="","Enter the figures on Intake, then set the three targets below.","Valued on "&amp;Intake!$D$19&amp;". Current comes from Intake. Future comes only from the three targets below - nothing here reads the future answers.")</f>
        <v/>
      </c>
      <c r="W7" s="5" t="n">
        <v>-0.05</v>
      </c>
      <c r="X7" s="8" t="n">
        <v>1.75</v>
      </c>
      <c r="Y7" s="5" t="n">
        <v>-0.1</v>
      </c>
    </row>
    <row r="8" ht="16" customHeight="1" s="215">
      <c r="B8" s="253">
        <f>IF(Engine!$B$23=0,IF(LEFT(Engine!$B$15,13)="Industry Data","",Engine!$B$15),Engine!$B$23&amp;IF(Engine!$B$23=1," deal-killer is tripped"," deal-killers are tripped")&amp;" - named on the Scorecard. Each one takes its own share off the multiple until they are cleared.")</f>
        <v/>
      </c>
      <c r="L8" s="34">
        <f>IF(COUNT(Questions!$P$3:$P$55)&lt;COUNT(Questions!$C$3:$C$55),COUNT(Questions!$P$3:$P$55)&amp;" of "&amp;COUNT(Questions!$C$3:$C$55)&amp;" future answers","From the answers")</f>
        <v/>
      </c>
      <c r="M8" s="35" t="inlineStr">
        <is>
          <t>From the answers</t>
        </is>
      </c>
      <c r="N8" s="35" t="inlineStr">
        <is>
          <t>Override</t>
        </is>
      </c>
      <c r="W8" s="5" t="n">
        <v>0</v>
      </c>
      <c r="X8" s="8" t="n">
        <v>2</v>
      </c>
      <c r="Y8" s="5" t="n">
        <v>-0.09</v>
      </c>
    </row>
    <row r="9" ht="22" customHeight="1" s="215">
      <c r="B9" s="36" t="inlineStr">
        <is>
          <t>Revenue Increase</t>
        </is>
      </c>
      <c r="C9" s="50" t="n">
        <v>0</v>
      </c>
      <c r="G9" s="36" t="inlineStr">
        <is>
          <t>EBITDA Increase</t>
        </is>
      </c>
      <c r="H9" s="50" t="n">
        <v>0</v>
      </c>
      <c r="L9" s="36">
        <f>"Current &amp; Future State  ("&amp;TEXT(Engine!$B$30,"0.00")&amp;"x)"</f>
        <v/>
      </c>
      <c r="M9" s="29">
        <f>Engine!$C$30</f>
        <v/>
      </c>
      <c r="N9" s="51" t="n"/>
      <c r="W9" s="5" t="n">
        <v>0.05</v>
      </c>
      <c r="X9" s="8" t="n">
        <v>2.25</v>
      </c>
      <c r="Y9" s="5" t="n">
        <v>-0.08</v>
      </c>
    </row>
    <row r="10" ht="22" customHeight="1" s="215">
      <c r="B10" s="248" t="inlineStr">
        <is>
          <t>Size</t>
        </is>
      </c>
      <c r="C10" s="211" t="n"/>
      <c r="D10" s="211" t="n"/>
      <c r="E10" s="209" t="n"/>
      <c r="G10" s="248" t="inlineStr">
        <is>
          <t>Efficiency &amp; Costs</t>
        </is>
      </c>
      <c r="H10" s="211" t="n"/>
      <c r="I10" s="211" t="n"/>
      <c r="J10" s="209" t="n"/>
      <c r="L10" s="248" t="inlineStr">
        <is>
          <t>Value Drivers &amp; Risk</t>
        </is>
      </c>
      <c r="M10" s="211" t="n"/>
      <c r="N10" s="211" t="n"/>
      <c r="O10" s="209" t="n"/>
      <c r="Q10" s="248" t="inlineStr">
        <is>
          <t>Forecasted P&amp;L</t>
        </is>
      </c>
      <c r="R10" s="211" t="n"/>
      <c r="S10" s="211" t="n"/>
      <c r="T10" s="209" t="n"/>
      <c r="W10" s="5" t="n">
        <v>0.1</v>
      </c>
      <c r="X10" s="8" t="n">
        <v>2.5</v>
      </c>
      <c r="Y10" s="5" t="n">
        <v>-0.07000000000000001</v>
      </c>
    </row>
    <row r="11" ht="18" customHeight="1" s="215">
      <c r="B11" s="259" t="inlineStr">
        <is>
          <t>Revenue</t>
        </is>
      </c>
      <c r="C11" s="211" t="n"/>
      <c r="D11" s="211" t="n"/>
      <c r="E11" s="209" t="n"/>
      <c r="G11" s="259" t="inlineStr">
        <is>
          <t>EBITDA</t>
        </is>
      </c>
      <c r="H11" s="211" t="n"/>
      <c r="I11" s="211" t="n"/>
      <c r="J11" s="209" t="n"/>
      <c r="L11" s="259" t="inlineStr">
        <is>
          <t>Multiple</t>
        </is>
      </c>
      <c r="M11" s="211" t="n"/>
      <c r="N11" s="211" t="n"/>
      <c r="O11" s="209" t="n"/>
      <c r="Q11" s="259" t="inlineStr">
        <is>
          <t>Forecasted P&amp;L</t>
        </is>
      </c>
      <c r="R11" s="211" t="n"/>
      <c r="S11" s="211" t="n"/>
      <c r="T11" s="209" t="n"/>
      <c r="W11" s="5" t="n">
        <v>0.15</v>
      </c>
      <c r="X11" s="8" t="n">
        <v>2.75</v>
      </c>
      <c r="Y11" s="5" t="n">
        <v>-0.06</v>
      </c>
    </row>
    <row r="12" ht="18" customHeight="1" s="215">
      <c r="B12" s="14" t="inlineStr">
        <is>
          <t>Revenue</t>
        </is>
      </c>
      <c r="C12" s="16">
        <f>Intake!$H$5</f>
        <v/>
      </c>
      <c r="D12" s="9">
        <f>Intake!$H$5*(1+$C$9)</f>
        <v/>
      </c>
      <c r="E12" s="15">
        <f>1</f>
        <v/>
      </c>
      <c r="G12" s="14" t="inlineStr">
        <is>
          <t>Revenue</t>
        </is>
      </c>
      <c r="H12" s="16">
        <f>Intake!$H$5</f>
        <v/>
      </c>
      <c r="I12" s="16">
        <f>Intake!$H$5*(1+0)</f>
        <v/>
      </c>
      <c r="J12" s="15">
        <f>1</f>
        <v/>
      </c>
      <c r="L12" s="14" t="inlineStr">
        <is>
          <t>Revenue</t>
        </is>
      </c>
      <c r="M12" s="16">
        <f>Intake!$H$5</f>
        <v/>
      </c>
      <c r="N12" s="16">
        <f>Intake!$H$5*(1+0)</f>
        <v/>
      </c>
      <c r="O12" s="15">
        <f>1</f>
        <v/>
      </c>
      <c r="Q12" s="14" t="inlineStr">
        <is>
          <t>Revenue</t>
        </is>
      </c>
      <c r="R12" s="16">
        <f>Intake!$H$5</f>
        <v/>
      </c>
      <c r="S12" s="9">
        <f>Intake!$H$5*(1+$C$9)</f>
        <v/>
      </c>
      <c r="T12" s="15">
        <f>1</f>
        <v/>
      </c>
      <c r="W12" s="5" t="n">
        <v>0.2</v>
      </c>
      <c r="X12" s="8" t="n">
        <v>3</v>
      </c>
      <c r="Y12" s="5" t="n">
        <v>-0.05</v>
      </c>
    </row>
    <row r="13" hidden="1" ht="18" customHeight="1" s="215">
      <c r="B13" s="17" t="n"/>
      <c r="C13" s="18" t="n"/>
      <c r="D13" s="18" t="n"/>
      <c r="E13" s="19" t="n"/>
      <c r="G13" s="17" t="n"/>
      <c r="H13" s="18" t="n"/>
      <c r="I13" s="18" t="n"/>
      <c r="J13" s="10" t="n"/>
      <c r="L13" s="17" t="n"/>
      <c r="M13" s="18" t="n"/>
      <c r="N13" s="18" t="n"/>
      <c r="O13" s="19" t="n"/>
      <c r="Q13" s="17" t="n"/>
      <c r="R13" s="18" t="n"/>
      <c r="S13" s="18" t="n"/>
      <c r="T13" s="10" t="n"/>
      <c r="W13" s="5" t="n">
        <v>0.25</v>
      </c>
      <c r="X13" s="8" t="n">
        <v>3.25</v>
      </c>
      <c r="Y13" s="5" t="n">
        <v>-0.04</v>
      </c>
    </row>
    <row r="14" ht="18" customHeight="1" s="215">
      <c r="B14" s="174">
        <f>Intake!$B$21</f>
        <v/>
      </c>
      <c r="C14" s="112">
        <f>C12*N(Intake!$D$21)</f>
        <v/>
      </c>
      <c r="D14" s="175">
        <f>D12*N(Intake!$D$21)</f>
        <v/>
      </c>
      <c r="E14" s="118">
        <f>IFERROR(D14/D12,"")</f>
        <v/>
      </c>
      <c r="G14" s="174">
        <f>Intake!$B$21</f>
        <v/>
      </c>
      <c r="H14" s="112">
        <f>H12*N(Intake!$D$21)</f>
        <v/>
      </c>
      <c r="I14" s="112">
        <f>I12*(N(Intake!$D$21)+$H$9)</f>
        <v/>
      </c>
      <c r="J14" s="118">
        <f>IFERROR(I14/I12,"")</f>
        <v/>
      </c>
      <c r="L14" s="174">
        <f>Intake!$B$21</f>
        <v/>
      </c>
      <c r="M14" s="112">
        <f>M12*N(Intake!$D$21)</f>
        <v/>
      </c>
      <c r="N14" s="112">
        <f>N12*N(Intake!$D$21)</f>
        <v/>
      </c>
      <c r="O14" s="118">
        <f>IFERROR(N14/N12,"")</f>
        <v/>
      </c>
      <c r="Q14" s="174">
        <f>Intake!$B$21</f>
        <v/>
      </c>
      <c r="R14" s="112">
        <f>R12*N(Intake!$D$21)</f>
        <v/>
      </c>
      <c r="S14" s="175">
        <f>S12*(N(Intake!$D$21)+$H$9)</f>
        <v/>
      </c>
      <c r="T14" s="118">
        <f>IFERROR(S14/S12,"")</f>
        <v/>
      </c>
      <c r="W14" s="5" t="n">
        <v>0.3</v>
      </c>
      <c r="X14" s="8" t="n">
        <v>3.5</v>
      </c>
      <c r="Y14" s="5" t="n">
        <v>-0.03</v>
      </c>
    </row>
    <row r="15" ht="18" customHeight="1" s="215">
      <c r="B15" s="174">
        <f>Intake!$D$19&amp;" margin"</f>
        <v/>
      </c>
      <c r="C15" s="112">
        <f>C14+IF(Intake!$D$19="SDE",N(Intake!$H$8)+N(Intake!$H$9),0)</f>
        <v/>
      </c>
      <c r="D15" s="175">
        <f>D14+IF(Intake!$D$19="SDE",N(Intake!$H$8)+N(Intake!$H$9),0)</f>
        <v/>
      </c>
      <c r="E15" s="118">
        <f>IFERROR(D15/D12,"")</f>
        <v/>
      </c>
      <c r="G15" s="174">
        <f>Intake!$D$19&amp;" margin"</f>
        <v/>
      </c>
      <c r="H15" s="112">
        <f>H14+IF(Intake!$D$19="SDE",N(Intake!$H$8)+N(Intake!$H$9),0)</f>
        <v/>
      </c>
      <c r="I15" s="112">
        <f>I14+IF(Intake!$D$19="SDE",N(Intake!$H$8)+N(Intake!$H$9),0)</f>
        <v/>
      </c>
      <c r="J15" s="118">
        <f>IFERROR(I15/I12,"")</f>
        <v/>
      </c>
      <c r="L15" s="174">
        <f>Intake!$D$19&amp;" margin"</f>
        <v/>
      </c>
      <c r="M15" s="112">
        <f>M14+IF(Intake!$D$19="SDE",N(Intake!$H$8)+N(Intake!$H$9),0)</f>
        <v/>
      </c>
      <c r="N15" s="112">
        <f>N14+IF(Intake!$D$19="SDE",N(Intake!$H$8)+N(Intake!$H$9),0)</f>
        <v/>
      </c>
      <c r="O15" s="118">
        <f>IFERROR(N15/N12,"")</f>
        <v/>
      </c>
      <c r="Q15" s="174">
        <f>Intake!$D$19&amp;" margin"</f>
        <v/>
      </c>
      <c r="R15" s="112">
        <f>R14+IF(Intake!$D$19="SDE",N(Intake!$H$8)+N(Intake!$H$9),0)</f>
        <v/>
      </c>
      <c r="S15" s="175">
        <f>S14+IF(Intake!$D$19="SDE",N(Intake!$H$8)+N(Intake!$H$9),0)</f>
        <v/>
      </c>
      <c r="T15" s="118">
        <f>IFERROR(S15/S12,"")</f>
        <v/>
      </c>
      <c r="W15" s="5" t="n">
        <v>0.35</v>
      </c>
      <c r="X15" s="8" t="n">
        <v>3.75</v>
      </c>
      <c r="Y15" s="5" t="n">
        <v>-0.02</v>
      </c>
    </row>
    <row r="16" hidden="1" ht="18" customHeight="1" s="215">
      <c r="B16" s="259" t="n"/>
      <c r="G16" s="259" t="n"/>
      <c r="L16" s="259" t="n"/>
      <c r="Q16" s="259" t="n"/>
      <c r="W16" s="5" t="n">
        <v>0.4</v>
      </c>
      <c r="X16" s="8" t="n">
        <v>4</v>
      </c>
      <c r="Y16" s="5" t="n">
        <v>-0.01</v>
      </c>
    </row>
    <row r="17" ht="18" customHeight="1" s="215">
      <c r="A17" s="261" t="n"/>
      <c r="B17" s="252" t="inlineStr">
        <is>
          <t>Adjusted Value</t>
        </is>
      </c>
      <c r="C17" s="211" t="n"/>
      <c r="D17" s="211" t="n"/>
      <c r="E17" s="209" t="n"/>
      <c r="F17" s="261" t="n"/>
      <c r="G17" s="252" t="inlineStr">
        <is>
          <t>Adjusted Value</t>
        </is>
      </c>
      <c r="H17" s="211" t="n"/>
      <c r="I17" s="211" t="n"/>
      <c r="J17" s="209" t="n"/>
      <c r="K17" s="261" t="n"/>
      <c r="L17" s="252" t="inlineStr">
        <is>
          <t>Adjusted Value</t>
        </is>
      </c>
      <c r="M17" s="211" t="n"/>
      <c r="N17" s="211" t="n"/>
      <c r="O17" s="209" t="n"/>
      <c r="P17" s="261" t="n"/>
      <c r="Q17" s="252" t="inlineStr">
        <is>
          <t>Forecasted Value</t>
        </is>
      </c>
      <c r="R17" s="211" t="n"/>
      <c r="S17" s="211" t="n"/>
      <c r="T17" s="209" t="n"/>
      <c r="U17" s="261" t="n"/>
      <c r="V17" s="261" t="n"/>
      <c r="W17" s="5" t="n">
        <v>0.45</v>
      </c>
      <c r="X17" s="8" t="n">
        <v>4.25</v>
      </c>
      <c r="Y17" s="5" t="n">
        <v>0</v>
      </c>
    </row>
    <row r="18" ht="18" customHeight="1" s="215">
      <c r="A18" s="261" t="n"/>
      <c r="B18" s="174" t="inlineStr">
        <is>
          <t>Multiple</t>
        </is>
      </c>
      <c r="C18" s="176">
        <f>Engine!$B$30</f>
        <v/>
      </c>
      <c r="D18" s="176">
        <f>Engine!$B$30*(1+0)</f>
        <v/>
      </c>
      <c r="E18" s="176" t="n"/>
      <c r="F18" s="261" t="n"/>
      <c r="G18" s="174" t="inlineStr">
        <is>
          <t>Multiple</t>
        </is>
      </c>
      <c r="H18" s="176">
        <f>Engine!$B$30</f>
        <v/>
      </c>
      <c r="I18" s="176">
        <f>Engine!$B$30*(1+0)</f>
        <v/>
      </c>
      <c r="J18" s="176" t="n"/>
      <c r="K18" s="261" t="n"/>
      <c r="L18" s="174" t="inlineStr">
        <is>
          <t>Multiple</t>
        </is>
      </c>
      <c r="M18" s="176">
        <f>Engine!$B$30</f>
        <v/>
      </c>
      <c r="N18" s="177">
        <f>IF($N$9="",$M$9,$N$9)</f>
        <v/>
      </c>
      <c r="O18" s="176" t="n"/>
      <c r="P18" s="261" t="n"/>
      <c r="Q18" s="174" t="inlineStr">
        <is>
          <t>Multiple</t>
        </is>
      </c>
      <c r="R18" s="176">
        <f>Engine!$B$30</f>
        <v/>
      </c>
      <c r="S18" s="177">
        <f>IF($N$9="",$M$9,$N$9)</f>
        <v/>
      </c>
      <c r="T18" s="176" t="n"/>
      <c r="U18" s="261" t="n"/>
      <c r="V18" s="261" t="n"/>
      <c r="W18" s="5" t="n">
        <v>0.5</v>
      </c>
      <c r="X18" s="8" t="n">
        <v>4.5</v>
      </c>
      <c r="Y18" s="5" t="n">
        <v>0.05</v>
      </c>
    </row>
    <row r="19" ht="18" customHeight="1" s="215">
      <c r="A19" s="261" t="n"/>
      <c r="B19" s="178" t="inlineStr">
        <is>
          <t>Adjusted EV</t>
        </is>
      </c>
      <c r="C19" s="179">
        <f>C15*C18</f>
        <v/>
      </c>
      <c r="D19" s="179">
        <f>D15*D18</f>
        <v/>
      </c>
      <c r="E19" s="179" t="n"/>
      <c r="F19" s="261" t="n"/>
      <c r="G19" s="178" t="inlineStr">
        <is>
          <t>Adjusted EV</t>
        </is>
      </c>
      <c r="H19" s="179">
        <f>H15*H18</f>
        <v/>
      </c>
      <c r="I19" s="179">
        <f>I15*I18</f>
        <v/>
      </c>
      <c r="J19" s="179" t="n"/>
      <c r="K19" s="261" t="n"/>
      <c r="L19" s="178" t="inlineStr">
        <is>
          <t>Adjusted EV</t>
        </is>
      </c>
      <c r="M19" s="179">
        <f>M15*M18</f>
        <v/>
      </c>
      <c r="N19" s="179">
        <f>N15*N18</f>
        <v/>
      </c>
      <c r="O19" s="179" t="n"/>
      <c r="P19" s="261" t="n"/>
      <c r="Q19" s="178" t="inlineStr">
        <is>
          <t>Adjusted EV</t>
        </is>
      </c>
      <c r="R19" s="179">
        <f>R15*R18</f>
        <v/>
      </c>
      <c r="S19" s="179">
        <f>S15*S18</f>
        <v/>
      </c>
      <c r="T19" s="179" t="n"/>
      <c r="U19" s="261" t="n"/>
      <c r="V19" s="261" t="n"/>
      <c r="W19" s="5" t="n">
        <v>0.55</v>
      </c>
      <c r="X19" s="8" t="n">
        <v>4.75</v>
      </c>
      <c r="Y19" s="5" t="n">
        <v>0.1</v>
      </c>
    </row>
    <row r="20" ht="18" customHeight="1" s="215">
      <c r="A20" s="261" t="n"/>
      <c r="B20" s="252" t="inlineStr">
        <is>
          <t>Value Created</t>
        </is>
      </c>
      <c r="C20" s="211" t="n"/>
      <c r="D20" s="211" t="n"/>
      <c r="E20" s="209" t="n"/>
      <c r="F20" s="261" t="n"/>
      <c r="G20" s="252" t="inlineStr">
        <is>
          <t>Value Created</t>
        </is>
      </c>
      <c r="H20" s="211" t="n"/>
      <c r="I20" s="211" t="n"/>
      <c r="J20" s="209" t="n"/>
      <c r="K20" s="261" t="n"/>
      <c r="L20" s="252" t="inlineStr">
        <is>
          <t>Value Created</t>
        </is>
      </c>
      <c r="M20" s="211" t="n"/>
      <c r="N20" s="211" t="n"/>
      <c r="O20" s="209" t="n"/>
      <c r="P20" s="261" t="n"/>
      <c r="Q20" s="252" t="inlineStr">
        <is>
          <t>Forecasted Growth</t>
        </is>
      </c>
      <c r="R20" s="211" t="n"/>
      <c r="S20" s="211" t="n"/>
      <c r="T20" s="209" t="n"/>
      <c r="U20" s="261" t="n"/>
      <c r="V20" s="261" t="n"/>
      <c r="W20" s="5" t="n">
        <v>0.6</v>
      </c>
      <c r="X20" s="8" t="n">
        <v>5</v>
      </c>
      <c r="Y20" s="5" t="n">
        <v>0.15</v>
      </c>
    </row>
    <row r="21" ht="18" customHeight="1" s="215">
      <c r="A21" s="261" t="n"/>
      <c r="B21" s="174" t="inlineStr">
        <is>
          <t>EV Growth</t>
        </is>
      </c>
      <c r="C21" s="112" t="n"/>
      <c r="D21" s="112" t="n"/>
      <c r="E21" s="180">
        <f>IFERROR(D19/C19,"")</f>
        <v/>
      </c>
      <c r="F21" s="261" t="n"/>
      <c r="G21" s="174" t="inlineStr">
        <is>
          <t>EV Growth</t>
        </is>
      </c>
      <c r="H21" s="112" t="n"/>
      <c r="I21" s="112" t="n"/>
      <c r="J21" s="180">
        <f>IFERROR(I19/H19,"")</f>
        <v/>
      </c>
      <c r="K21" s="261" t="n"/>
      <c r="L21" s="174" t="inlineStr">
        <is>
          <t>EV Growth</t>
        </is>
      </c>
      <c r="M21" s="112" t="n"/>
      <c r="N21" s="112" t="n"/>
      <c r="O21" s="180">
        <f>IFERROR(N19/M19,"")</f>
        <v/>
      </c>
      <c r="P21" s="261" t="n"/>
      <c r="Q21" s="174" t="inlineStr">
        <is>
          <t>EV Growth</t>
        </is>
      </c>
      <c r="R21" s="112" t="n"/>
      <c r="S21" s="112" t="n"/>
      <c r="T21" s="180">
        <f>IFERROR(S19/R19,"")</f>
        <v/>
      </c>
      <c r="U21" s="261" t="n"/>
      <c r="V21" s="261" t="n"/>
      <c r="W21" s="5" t="n">
        <v>0.65</v>
      </c>
      <c r="X21" s="8" t="n">
        <v>5.25</v>
      </c>
      <c r="Y21" s="5" t="n">
        <v>0.2</v>
      </c>
    </row>
    <row r="22" ht="22" customHeight="1" s="215">
      <c r="A22" s="261" t="n"/>
      <c r="B22" s="181" t="inlineStr">
        <is>
          <t>EV Increase</t>
        </is>
      </c>
      <c r="C22" s="182" t="n"/>
      <c r="D22" s="256">
        <f>D19-C19</f>
        <v/>
      </c>
      <c r="E22" s="258" t="n"/>
      <c r="F22" s="261" t="n"/>
      <c r="G22" s="181" t="inlineStr">
        <is>
          <t>EV Increase</t>
        </is>
      </c>
      <c r="H22" s="182" t="n"/>
      <c r="I22" s="256">
        <f>I19-H19</f>
        <v/>
      </c>
      <c r="J22" s="258" t="n"/>
      <c r="K22" s="261" t="n"/>
      <c r="L22" s="181" t="inlineStr">
        <is>
          <t>EV Increase</t>
        </is>
      </c>
      <c r="M22" s="182" t="n"/>
      <c r="N22" s="256">
        <f>N19-M19</f>
        <v/>
      </c>
      <c r="O22" s="258" t="n"/>
      <c r="P22" s="261" t="n"/>
      <c r="Q22" s="181" t="inlineStr">
        <is>
          <t>EV Increase</t>
        </is>
      </c>
      <c r="R22" s="182" t="n"/>
      <c r="S22" s="256">
        <f>S19-R19</f>
        <v/>
      </c>
      <c r="T22" s="258" t="n"/>
      <c r="U22" s="261" t="n"/>
      <c r="V22" s="261" t="n"/>
      <c r="W22" s="5" t="n">
        <v>0.7</v>
      </c>
      <c r="X22" s="8" t="n">
        <v>5.5</v>
      </c>
      <c r="Y22" s="5" t="n">
        <v>0.25</v>
      </c>
    </row>
    <row r="23">
      <c r="A23" s="261" t="n"/>
      <c r="B23" s="261" t="n"/>
      <c r="C23" s="261" t="n"/>
      <c r="D23" s="261" t="n"/>
      <c r="E23" s="261" t="n"/>
      <c r="F23" s="261" t="n"/>
      <c r="G23" s="261" t="n"/>
      <c r="H23" s="261" t="n"/>
      <c r="I23" s="261" t="n"/>
      <c r="J23" s="261" t="n"/>
      <c r="K23" s="261" t="n"/>
      <c r="L23" s="261" t="n"/>
      <c r="M23" s="261" t="n"/>
      <c r="N23" s="261" t="n"/>
      <c r="O23" s="261" t="n"/>
      <c r="P23" s="261" t="n"/>
      <c r="Q23" s="261" t="n"/>
      <c r="R23" s="261" t="n"/>
      <c r="S23" s="261" t="n"/>
      <c r="T23" s="261" t="n"/>
      <c r="U23" s="261" t="n"/>
      <c r="V23" s="261" t="n"/>
      <c r="W23" s="5" t="n">
        <v>0.75</v>
      </c>
      <c r="X23" s="8" t="n">
        <v>5.75</v>
      </c>
      <c r="Y23" s="5" t="n">
        <v>0.3</v>
      </c>
    </row>
    <row r="24" ht="22" customHeight="1" s="215">
      <c r="A24" s="261" t="n"/>
      <c r="B24" s="252" t="inlineStr">
        <is>
          <t>Against the Desired Value</t>
        </is>
      </c>
      <c r="C24" s="211" t="n"/>
      <c r="D24" s="211" t="n"/>
      <c r="E24" s="211" t="n"/>
      <c r="F24" s="211" t="n"/>
      <c r="G24" s="211" t="n"/>
      <c r="H24" s="211" t="n"/>
      <c r="I24" s="211" t="n"/>
      <c r="J24" s="211" t="n"/>
      <c r="K24" s="211" t="n"/>
      <c r="L24" s="211" t="n"/>
      <c r="M24" s="211" t="n"/>
      <c r="N24" s="211" t="n"/>
      <c r="O24" s="211" t="n"/>
      <c r="P24" s="211" t="n"/>
      <c r="Q24" s="211" t="n"/>
      <c r="R24" s="211" t="n"/>
      <c r="S24" s="211" t="n"/>
      <c r="T24" s="209" t="n"/>
      <c r="U24" s="261" t="n"/>
      <c r="V24" s="261" t="n"/>
      <c r="W24" s="5" t="n">
        <v>0.8</v>
      </c>
      <c r="X24" s="8" t="n">
        <v>6</v>
      </c>
      <c r="Y24" s="5" t="n">
        <v>0.35</v>
      </c>
    </row>
    <row r="25" ht="24" customHeight="1" s="215">
      <c r="A25" s="261" t="n"/>
      <c r="B25" s="185" t="inlineStr">
        <is>
          <t>Current Value</t>
        </is>
      </c>
      <c r="C25" s="258">
        <f>$C$19</f>
        <v/>
      </c>
      <c r="D25" s="209" t="n"/>
      <c r="E25" s="186" t="n"/>
      <c r="F25" s="261" t="n"/>
      <c r="G25" s="185" t="inlineStr">
        <is>
          <t>Potential Value</t>
        </is>
      </c>
      <c r="H25" s="258">
        <f>$S$19</f>
        <v/>
      </c>
      <c r="I25" s="209" t="n"/>
      <c r="J25" s="186" t="n"/>
      <c r="K25" s="261" t="n"/>
      <c r="L25" s="185" t="inlineStr">
        <is>
          <t>Desired Value</t>
        </is>
      </c>
      <c r="M25" s="258">
        <f>Intake!$H$17</f>
        <v/>
      </c>
      <c r="N25" s="209" t="n"/>
      <c r="O25" s="186" t="n"/>
      <c r="P25" s="261" t="n"/>
      <c r="Q25" s="181" t="inlineStr">
        <is>
          <t>Still short</t>
        </is>
      </c>
      <c r="R25" s="256">
        <f>IF(N(Intake!$H$17)=0,"Enter a desired sale price on Intake",IF($H$25&gt;=$M$25,"Ahead by "&amp;TEXT($H$25-$M$25,"#,##0"),"Short by "&amp;TEXT($M$25-$H$25,"#,##0")))</f>
        <v/>
      </c>
      <c r="S25" s="211" t="n"/>
      <c r="T25" s="209" t="n"/>
      <c r="U25" s="261" t="n"/>
      <c r="V25" s="261" t="n"/>
      <c r="W25" s="5" t="n">
        <v>0.85</v>
      </c>
      <c r="X25" s="8" t="n">
        <v>6.25</v>
      </c>
      <c r="Y25" s="5" t="n">
        <v>0.4</v>
      </c>
    </row>
    <row r="26" ht="24" customHeight="1" s="215">
      <c r="A26" s="261" t="n"/>
      <c r="B26" s="185" t="inlineStr">
        <is>
          <t>If you sell it as it stands</t>
        </is>
      </c>
      <c r="C26" s="258">
        <f>$C$25*Engine!$B$32</f>
        <v/>
      </c>
      <c r="D26" s="261" t="n"/>
      <c r="E26" s="261" t="n"/>
      <c r="F26" s="261" t="n"/>
      <c r="G26" s="185" t="inlineStr">
        <is>
          <t>If you sell it after the work</t>
        </is>
      </c>
      <c r="H26" s="258">
        <f>$H$25*Engine!$C$32</f>
        <v/>
      </c>
      <c r="I26" s="261" t="n"/>
      <c r="J26" s="261" t="n"/>
      <c r="K26" s="261" t="n"/>
      <c r="L26" s="185" t="inlineStr">
        <is>
          <t>What the work is worth</t>
        </is>
      </c>
      <c r="M26" s="258">
        <f>$H$26-$C$26</f>
        <v/>
      </c>
      <c r="N26" s="261" t="n"/>
      <c r="O26" s="261" t="n"/>
      <c r="P26" s="261" t="n"/>
      <c r="Q26" s="181">
        <f>"Value multiplied by the chance of actually selling: "&amp;TEXT(Engine!$B$32,"0%")&amp;" today, "&amp;TEXT(Engine!$C$32,"0%")&amp;" prepared."</f>
        <v/>
      </c>
      <c r="R26" s="261" t="n"/>
      <c r="S26" s="261" t="n"/>
      <c r="T26" s="261" t="n"/>
      <c r="U26" s="261" t="n"/>
      <c r="V26" s="261" t="n"/>
      <c r="W26" s="5" t="n">
        <v>0.9</v>
      </c>
      <c r="X26" s="8" t="n">
        <v>6.5</v>
      </c>
      <c r="Y26" s="5" t="n">
        <v>0.45</v>
      </c>
    </row>
    <row r="27" ht="24" customHeight="1" s="215">
      <c r="A27" s="261" t="n"/>
      <c r="B27" s="260" t="inlineStr">
        <is>
          <t>Size</t>
        </is>
      </c>
      <c r="C27" s="211" t="n"/>
      <c r="D27" s="211" t="n"/>
      <c r="E27" s="209" t="n"/>
      <c r="F27" s="261" t="n"/>
      <c r="G27" s="260" t="inlineStr">
        <is>
          <t>Efficiency</t>
        </is>
      </c>
      <c r="H27" s="211" t="n"/>
      <c r="I27" s="211" t="n"/>
      <c r="J27" s="209" t="n"/>
      <c r="K27" s="261" t="n"/>
      <c r="L27" s="260" t="inlineStr">
        <is>
          <t>Multiple</t>
        </is>
      </c>
      <c r="M27" s="211" t="n"/>
      <c r="N27" s="211" t="n"/>
      <c r="O27" s="209" t="n"/>
      <c r="P27" s="261" t="n"/>
      <c r="Q27" s="260" t="inlineStr">
        <is>
          <t>Forecasted P&amp;L</t>
        </is>
      </c>
      <c r="R27" s="211" t="n"/>
      <c r="S27" s="211" t="n"/>
      <c r="T27" s="209" t="n"/>
      <c r="U27" s="261" t="n"/>
      <c r="V27" s="261" t="n"/>
      <c r="W27" s="5" t="n">
        <v>0.95</v>
      </c>
      <c r="X27" s="8" t="n">
        <v>6.75</v>
      </c>
      <c r="Y27" s="5" t="n">
        <v>0.5</v>
      </c>
    </row>
    <row r="28" ht="80" customHeight="1" s="215">
      <c r="A28" s="261" t="n"/>
      <c r="B28" s="249" t="inlineStr">
        <is>
          <t xml:space="preserve">Revenue grows grows EBITDA in absilute numbers, under the assumption that the margin stays the same as the revenue increases. at today's margin. </t>
        </is>
      </c>
      <c r="C28" s="211" t="n"/>
      <c r="D28" s="211" t="n"/>
      <c r="E28" s="209" t="n"/>
      <c r="F28" s="261" t="n"/>
      <c r="G28" s="249" t="inlineStr">
        <is>
          <t xml:space="preserve">Those percentage points are added to the margin, at today's revenue. </t>
        </is>
      </c>
      <c r="H28" s="211" t="n"/>
      <c r="I28" s="211" t="n"/>
      <c r="J28" s="209" t="n"/>
      <c r="K28" s="261" t="n"/>
      <c r="L28" s="249" t="inlineStr">
        <is>
          <t>Worked out from the improved answers - the grey cell is what they earn and is not editable. Type a multiple into the orange Override beside it to use your own instead.</t>
        </is>
      </c>
      <c r="M28" s="211" t="n"/>
      <c r="N28" s="211" t="n"/>
      <c r="O28" s="209" t="n"/>
      <c r="P28" s="261" t="n"/>
      <c r="Q28" s="249" t="inlineStr">
        <is>
          <t>All three together. It equals Future Potential Value. The three separate increases do not add up to the total, because growing earnings and lifting the multiple multiply rather than add.</t>
        </is>
      </c>
      <c r="R28" s="211" t="n"/>
      <c r="S28" s="211" t="n"/>
      <c r="T28" s="209" t="n"/>
      <c r="U28" s="261" t="n"/>
      <c r="V28" s="261" t="n"/>
      <c r="W28" s="5" t="n">
        <v>1</v>
      </c>
      <c r="X28" s="8" t="n">
        <v>7</v>
      </c>
      <c r="Y28" s="5" t="n">
        <v>0.55</v>
      </c>
    </row>
    <row r="29">
      <c r="A29" s="261" t="n"/>
      <c r="W29" s="5" t="n">
        <v>1.05</v>
      </c>
      <c r="X29" s="8" t="n">
        <v>7.25</v>
      </c>
      <c r="Y29" s="5" t="n">
        <v>0.6</v>
      </c>
    </row>
    <row r="30" ht="22" customHeight="1" s="215">
      <c r="A30" s="261" t="n"/>
      <c r="B30" s="296" t="inlineStr">
        <is>
          <t>What It Takes To Reach The Desired Value</t>
        </is>
      </c>
      <c r="C30" s="296" t="n"/>
      <c r="D30" s="211" t="n"/>
      <c r="E30" s="211" t="n"/>
      <c r="F30" s="211" t="n"/>
      <c r="G30" s="211" t="n"/>
      <c r="H30" s="211" t="n"/>
      <c r="I30" s="211" t="n"/>
      <c r="J30" s="211" t="n"/>
      <c r="K30" s="211" t="n"/>
      <c r="L30" s="211" t="n"/>
      <c r="M30" s="211" t="n"/>
      <c r="N30" s="211" t="n"/>
      <c r="O30" s="211" t="n"/>
      <c r="P30" s="211" t="n"/>
      <c r="Q30" s="211" t="n"/>
      <c r="R30" s="211" t="n"/>
      <c r="S30" s="211" t="n"/>
      <c r="T30" s="209" t="n"/>
      <c r="U30" s="261" t="n"/>
      <c r="V30" s="261" t="n"/>
      <c r="W30" s="5" t="n">
        <v>1.1</v>
      </c>
      <c r="X30" s="8" t="n">
        <v>7.5</v>
      </c>
      <c r="Y30" s="5" t="n">
        <v>0.65</v>
      </c>
    </row>
    <row r="31" ht="24" customHeight="1" s="215">
      <c r="A31" s="261" t="n"/>
      <c r="B31" s="185" t="inlineStr">
        <is>
          <t>Earnings required</t>
        </is>
      </c>
      <c r="C31" s="258">
        <f>IFERROR(N(Intake!$H$17)/(IF($N$9="",N($M$9),N($N$9))),"")</f>
        <v/>
      </c>
      <c r="D31" s="209" t="n"/>
      <c r="E31" s="186" t="n"/>
      <c r="F31" s="261" t="n"/>
      <c r="G31" s="185" t="inlineStr">
        <is>
          <t>At this margin   (type to change)</t>
        </is>
      </c>
      <c r="H31" s="189" t="n"/>
      <c r="I31" s="209" t="n"/>
      <c r="J31" s="186" t="n"/>
      <c r="K31" s="261" t="n"/>
      <c r="L31" s="185" t="inlineStr">
        <is>
          <t>Revenue required</t>
        </is>
      </c>
      <c r="M31" s="258">
        <f>IFERROR($C$31/(IF($H$31="",N($T$15),N($H$31))),"")</f>
        <v/>
      </c>
      <c r="N31" s="209" t="n"/>
      <c r="O31" s="186" t="n"/>
      <c r="P31" s="261" t="n"/>
      <c r="Q31" s="181" t="inlineStr">
        <is>
          <t>Growth on today's revenue</t>
        </is>
      </c>
      <c r="R31" s="190">
        <f>IFERROR($M$31/N(Intake!$H$5),0)</f>
        <v/>
      </c>
      <c r="S31" s="211" t="n"/>
      <c r="T31" s="209" t="n"/>
      <c r="U31" s="261" t="n"/>
      <c r="V31" s="261" t="n"/>
      <c r="W31" s="5" t="n">
        <v>1.15</v>
      </c>
      <c r="X31" s="8" t="n">
        <v>7.75</v>
      </c>
      <c r="Y31" s="5" t="n">
        <v>0.7</v>
      </c>
    </row>
    <row r="32" ht="24" customHeight="1" s="215">
      <c r="A32" s="261" t="n"/>
      <c r="B32" s="185" t="inlineStr">
        <is>
          <t>Margin used</t>
        </is>
      </c>
      <c r="C32" s="191">
        <f>IF($H$31="",N($T$15),N($H$31))</f>
        <v/>
      </c>
      <c r="D32" s="261" t="n"/>
      <c r="E32" s="261" t="n"/>
      <c r="F32" s="261" t="n"/>
      <c r="G32" s="185" t="inlineStr">
        <is>
          <t>Multiple used</t>
        </is>
      </c>
      <c r="H32" s="192">
        <f>IF($N$9="",N($M$9),N($N$9))</f>
        <v/>
      </c>
      <c r="I32" s="261" t="n"/>
      <c r="J32" s="261" t="n"/>
      <c r="K32" s="261" t="n"/>
      <c r="L32" s="185" t="inlineStr">
        <is>
          <t>Revenue today</t>
        </is>
      </c>
      <c r="M32" s="258">
        <f>N(Intake!$H$5)</f>
        <v/>
      </c>
      <c r="N32" s="261" t="n"/>
      <c r="O32" s="261" t="n"/>
      <c r="P32" s="261" t="n"/>
      <c r="Q32" s="181" t="inlineStr">
        <is>
          <t>Growth a year, to the exit</t>
        </is>
      </c>
      <c r="R32" s="150">
        <f>IFERROR(($M$31/N(Intake!$H$5))^(12/MAX(1,N(Intake!$H$18)))-1,0)</f>
        <v/>
      </c>
      <c r="S32" s="261" t="n"/>
      <c r="T32" s="261" t="n"/>
      <c r="U32" s="261" t="n"/>
      <c r="V32" s="261" t="n"/>
      <c r="W32" s="5" t="n">
        <v>1.2</v>
      </c>
      <c r="X32" s="8" t="n">
        <v>8</v>
      </c>
      <c r="Y32" s="5" t="n">
        <v>0.75</v>
      </c>
    </row>
    <row r="33">
      <c r="A33" s="261" t="n"/>
      <c r="W33" s="5" t="n">
        <v>1.25</v>
      </c>
      <c r="X33" s="8" t="n">
        <v>8.25</v>
      </c>
      <c r="Y33" s="5" t="n">
        <v>0.8</v>
      </c>
    </row>
    <row r="34">
      <c r="W34" s="5" t="n">
        <v>1.3</v>
      </c>
      <c r="X34" s="8" t="n">
        <v>8.5</v>
      </c>
      <c r="Y34" s="5" t="n">
        <v>0.85</v>
      </c>
    </row>
    <row r="35">
      <c r="W35" s="5" t="n">
        <v>1.35</v>
      </c>
      <c r="X35" s="8" t="n">
        <v>8.75</v>
      </c>
      <c r="Y35" s="5" t="n">
        <v>0.9</v>
      </c>
    </row>
    <row r="36">
      <c r="W36" s="5" t="n">
        <v>1.4</v>
      </c>
      <c r="X36" s="8" t="n">
        <v>9</v>
      </c>
      <c r="Y36" s="5" t="n">
        <v>0.95</v>
      </c>
    </row>
    <row r="37">
      <c r="W37" s="5" t="n">
        <v>1.45</v>
      </c>
      <c r="X37" s="8" t="n">
        <v>9.25</v>
      </c>
      <c r="Y37" s="5" t="n">
        <v>1</v>
      </c>
    </row>
    <row r="38">
      <c r="W38" s="5" t="n">
        <v>1.5</v>
      </c>
      <c r="X38" s="8" t="n">
        <v>9.5</v>
      </c>
      <c r="Y38" s="5" t="n">
        <v>1.05</v>
      </c>
    </row>
    <row r="39">
      <c r="W39" s="5" t="n">
        <v>1.55</v>
      </c>
      <c r="X39" s="8" t="n">
        <v>9.75</v>
      </c>
      <c r="Y39" s="5" t="n">
        <v>1.1</v>
      </c>
    </row>
    <row r="40">
      <c r="W40" s="5" t="n">
        <v>1.6</v>
      </c>
      <c r="X40" s="8" t="n">
        <v>10</v>
      </c>
      <c r="Y40" s="5" t="n">
        <v>1.15</v>
      </c>
    </row>
    <row r="41">
      <c r="W41" s="5" t="n">
        <v>1.65</v>
      </c>
      <c r="X41" s="8" t="n">
        <v>10.25</v>
      </c>
      <c r="Y41" s="5" t="n">
        <v>1.2</v>
      </c>
    </row>
    <row r="42">
      <c r="W42" s="5" t="n">
        <v>1.7</v>
      </c>
      <c r="X42" s="8" t="n">
        <v>10.5</v>
      </c>
      <c r="Y42" s="5" t="n">
        <v>1.25</v>
      </c>
    </row>
    <row r="43">
      <c r="W43" s="5" t="n">
        <v>1.75</v>
      </c>
      <c r="X43" s="8" t="n">
        <v>10.75</v>
      </c>
      <c r="Y43" s="5" t="n">
        <v>1.3</v>
      </c>
    </row>
    <row r="44">
      <c r="W44" s="5" t="n">
        <v>1.8</v>
      </c>
      <c r="X44" s="8" t="n">
        <v>11</v>
      </c>
      <c r="Y44" s="5" t="n">
        <v>1.35</v>
      </c>
    </row>
    <row r="45">
      <c r="W45" s="5" t="n">
        <v>1.85</v>
      </c>
      <c r="X45" s="8" t="n">
        <v>11.25</v>
      </c>
      <c r="Y45" s="5" t="n">
        <v>1.4</v>
      </c>
    </row>
    <row r="46">
      <c r="W46" s="5" t="n">
        <v>1.9</v>
      </c>
      <c r="X46" s="8" t="n">
        <v>11.5</v>
      </c>
      <c r="Y46" s="5" t="n">
        <v>1.45</v>
      </c>
    </row>
    <row r="47">
      <c r="W47" s="5" t="n">
        <v>1.95</v>
      </c>
      <c r="X47" s="8" t="n">
        <v>11.75</v>
      </c>
      <c r="Y47" s="5" t="n">
        <v>1.5</v>
      </c>
    </row>
    <row r="48">
      <c r="W48" s="5" t="n">
        <v>2</v>
      </c>
      <c r="X48" s="8" t="n">
        <v>12</v>
      </c>
      <c r="Y48" s="5" t="n">
        <v>1.55</v>
      </c>
    </row>
    <row r="49">
      <c r="W49" s="5" t="n">
        <v>2.05</v>
      </c>
      <c r="X49" s="8" t="n">
        <v>12.25</v>
      </c>
      <c r="Y49" s="5" t="n">
        <v>1.6</v>
      </c>
    </row>
    <row r="50">
      <c r="W50" s="5" t="n">
        <v>2.1</v>
      </c>
      <c r="X50" s="8" t="n">
        <v>12.5</v>
      </c>
      <c r="Y50" s="5" t="n">
        <v>1.65</v>
      </c>
    </row>
    <row r="51">
      <c r="W51" s="5" t="n">
        <v>2.15</v>
      </c>
      <c r="X51" s="8" t="n">
        <v>12.75</v>
      </c>
      <c r="Y51" s="5" t="n">
        <v>1.7</v>
      </c>
    </row>
    <row r="52">
      <c r="W52" s="5" t="n">
        <v>2.2</v>
      </c>
      <c r="X52" s="8" t="n">
        <v>13</v>
      </c>
      <c r="Y52" s="5" t="n">
        <v>1.75</v>
      </c>
    </row>
    <row r="53">
      <c r="W53" s="5" t="n">
        <v>2.25</v>
      </c>
      <c r="X53" s="8" t="n">
        <v>13.25</v>
      </c>
      <c r="Y53" s="5" t="n">
        <v>1.8</v>
      </c>
    </row>
    <row r="54">
      <c r="W54" s="5" t="n">
        <v>2.3</v>
      </c>
      <c r="X54" s="8" t="n">
        <v>13.5</v>
      </c>
      <c r="Y54" s="5" t="n">
        <v>1.85</v>
      </c>
    </row>
    <row r="55">
      <c r="W55" s="5" t="n">
        <v>2.35</v>
      </c>
      <c r="X55" s="8" t="n">
        <v>13.75</v>
      </c>
      <c r="Y55" s="5" t="n">
        <v>1.9</v>
      </c>
    </row>
    <row r="56">
      <c r="W56" s="5" t="n">
        <v>2.4</v>
      </c>
      <c r="X56" s="8" t="n">
        <v>14</v>
      </c>
      <c r="Y56" s="5" t="n">
        <v>1.95</v>
      </c>
    </row>
    <row r="57">
      <c r="W57" s="5" t="n">
        <v>2.45</v>
      </c>
      <c r="X57" s="8" t="n">
        <v>14.25</v>
      </c>
      <c r="Y57" s="5" t="n">
        <v>2</v>
      </c>
    </row>
    <row r="58">
      <c r="W58" s="5" t="n">
        <v>2.5</v>
      </c>
      <c r="X58" s="8" t="n">
        <v>14.5</v>
      </c>
      <c r="Y58" s="5" t="n">
        <v>2.05</v>
      </c>
    </row>
    <row r="59">
      <c r="W59" s="5" t="n">
        <v>2.55</v>
      </c>
      <c r="X59" s="8" t="n">
        <v>14.75</v>
      </c>
      <c r="Y59" s="5" t="n">
        <v>2.1</v>
      </c>
    </row>
    <row r="60" ht="22" customHeight="1" s="215">
      <c r="B60" s="252" t="inlineStr">
        <is>
          <t>What to fix first</t>
        </is>
      </c>
      <c r="W60" s="5" t="n">
        <v>2.6</v>
      </c>
      <c r="X60" s="8" t="n">
        <v>15</v>
      </c>
      <c r="Y60" s="5" t="n">
        <v>2.15</v>
      </c>
    </row>
    <row r="61" ht="30" customHeight="1" s="215">
      <c r="B61" s="262" t="inlineStr">
        <is>
          <t>Rank</t>
        </is>
      </c>
      <c r="C61" s="230" t="n"/>
      <c r="D61" s="230" t="n"/>
      <c r="E61" s="230" t="n"/>
      <c r="F61" s="230" t="n"/>
      <c r="G61" s="230" t="n"/>
      <c r="H61" s="230" t="n"/>
      <c r="I61" s="230" t="n"/>
      <c r="J61" s="230" t="n"/>
      <c r="K61" s="230" t="n"/>
      <c r="L61" s="230" t="n"/>
      <c r="M61" s="230" t="n"/>
      <c r="N61" s="230" t="n"/>
      <c r="O61" s="230" t="n"/>
      <c r="P61" s="230" t="n"/>
      <c r="Q61" s="230" t="n"/>
      <c r="R61" s="230" t="n"/>
      <c r="S61" s="230" t="n"/>
      <c r="T61" s="231" t="n"/>
      <c r="W61" s="5" t="n">
        <v>2.65</v>
      </c>
      <c r="X61" s="8" t="n">
        <v>15.25</v>
      </c>
      <c r="Y61" s="5" t="n">
        <v>2.2</v>
      </c>
    </row>
    <row r="62" ht="22" customHeight="1" s="215">
      <c r="B62" s="98">
        <f>IFERROR(RANK($F62,$F$62:$F$68,0),"")</f>
        <v/>
      </c>
      <c r="C62" s="99">
        <f>Scorecard!$A$3</f>
        <v/>
      </c>
      <c r="D62" s="100">
        <f>IFERROR(Scorecard!$D$3,"")</f>
        <v/>
      </c>
      <c r="E62" s="101">
        <f>IFERROR(SUMIF(Engine!$V$107:$V$133,Scorecard!$A$3,Engine!$L$107:$L$133)/SUM(Engine!$L$107:$L$133),"")</f>
        <v/>
      </c>
      <c r="F62" s="100">
        <f>IFERROR((5-$D62)*$E62,"")</f>
        <v/>
      </c>
      <c r="H62" s="292">
        <f>"The driver ranked 1 is where the most value is sitting unclaimed - its share of the Value score multiplied by how far it is from 5. Fixing a deal-killer comes first regardless, because every tripped gate takes its own share off the multiple."</f>
        <v/>
      </c>
      <c r="W62" s="5" t="n">
        <v>2.7</v>
      </c>
      <c r="X62" s="8" t="n">
        <v>15.5</v>
      </c>
      <c r="Y62" s="5" t="n">
        <v>2.25</v>
      </c>
    </row>
    <row r="63" ht="22" customHeight="1" s="215">
      <c r="B63" s="98">
        <f>IFERROR(RANK($F63,$F$62:$F$68,0),"")</f>
        <v/>
      </c>
      <c r="C63" s="99">
        <f>Scorecard!$A$8</f>
        <v/>
      </c>
      <c r="D63" s="100">
        <f>IFERROR(Scorecard!$D$8,"")</f>
        <v/>
      </c>
      <c r="E63" s="101">
        <f>IFERROR(SUMIF(Engine!$V$107:$V$133,Scorecard!$A$8,Engine!$L$107:$L$133)/SUM(Engine!$L$107:$L$133),"")</f>
        <v/>
      </c>
      <c r="F63" s="100">
        <f>IFERROR((5-$D63)*$E63,"")</f>
        <v/>
      </c>
      <c r="H63" s="261" t="n"/>
      <c r="W63" s="5" t="n">
        <v>2.75</v>
      </c>
      <c r="X63" s="8" t="n">
        <v>15.75</v>
      </c>
      <c r="Y63" s="5" t="n">
        <v>2.3</v>
      </c>
    </row>
    <row r="64" ht="22" customHeight="1" s="215">
      <c r="B64" s="98">
        <f>IFERROR(RANK($F64,$F$62:$F$68,0),"")</f>
        <v/>
      </c>
      <c r="C64" s="99">
        <f>Scorecard!$A$15</f>
        <v/>
      </c>
      <c r="D64" s="100">
        <f>IFERROR(Scorecard!$D$15,"")</f>
        <v/>
      </c>
      <c r="E64" s="101">
        <f>IFERROR(SUMIF(Engine!$V$107:$V$133,Scorecard!$A$15,Engine!$L$107:$L$133)/SUM(Engine!$L$107:$L$133),"")</f>
        <v/>
      </c>
      <c r="F64" s="100">
        <f>IFERROR((5-$D64)*$E64,"")</f>
        <v/>
      </c>
      <c r="W64" s="5" t="n">
        <v>2.8</v>
      </c>
      <c r="X64" s="8" t="n">
        <v>16</v>
      </c>
      <c r="Y64" s="5" t="n">
        <v>2.35</v>
      </c>
    </row>
    <row r="65" ht="22" customHeight="1" s="215">
      <c r="B65" s="98">
        <f>IFERROR(RANK($F65,$F$62:$F$68,0),"")</f>
        <v/>
      </c>
      <c r="C65" s="99">
        <f>Scorecard!$A$23</f>
        <v/>
      </c>
      <c r="D65" s="100">
        <f>IFERROR(Scorecard!$D$23,"")</f>
        <v/>
      </c>
      <c r="E65" s="101">
        <f>IFERROR(SUMIF(Engine!$V$107:$V$133,Scorecard!$A$23,Engine!$L$107:$L$133)/SUM(Engine!$L$107:$L$133),"")</f>
        <v/>
      </c>
      <c r="F65" s="100">
        <f>IFERROR((5-$D65)*$E65,"")</f>
        <v/>
      </c>
      <c r="W65" s="5" t="n">
        <v>2.85</v>
      </c>
      <c r="X65" s="8" t="n">
        <v>16.25</v>
      </c>
      <c r="Y65" s="5" t="n">
        <v>2.4</v>
      </c>
    </row>
    <row r="66" ht="22" customHeight="1" s="215">
      <c r="B66" s="98">
        <f>IFERROR(RANK($F66,$F$62:$F$68,0),"")</f>
        <v/>
      </c>
      <c r="C66" s="99">
        <f>Scorecard!$A$27</f>
        <v/>
      </c>
      <c r="D66" s="100">
        <f>IFERROR(Scorecard!$D$27,"")</f>
        <v/>
      </c>
      <c r="E66" s="101">
        <f>IFERROR(SUMIF(Engine!$V$107:$V$133,Scorecard!$A$27,Engine!$L$107:$L$133)/SUM(Engine!$L$107:$L$133),"")</f>
        <v/>
      </c>
      <c r="F66" s="100">
        <f>IFERROR((5-$D66)*$E66,"")</f>
        <v/>
      </c>
      <c r="W66" s="5" t="n">
        <v>2.9</v>
      </c>
      <c r="X66" s="8" t="n">
        <v>16.5</v>
      </c>
      <c r="Y66" s="5" t="n">
        <v>2.45</v>
      </c>
    </row>
    <row r="67" ht="22" customHeight="1" s="215">
      <c r="B67" s="98">
        <f>IFERROR(RANK($F67,$F$62:$F$68,0),"")</f>
        <v/>
      </c>
      <c r="C67" s="99">
        <f>Scorecard!$A$32</f>
        <v/>
      </c>
      <c r="D67" s="100">
        <f>IFERROR(Scorecard!$D$32,"")</f>
        <v/>
      </c>
      <c r="E67" s="101">
        <f>IFERROR(SUMIF(Engine!$V$107:$V$133,Scorecard!$A$32,Engine!$L$107:$L$133)/SUM(Engine!$L$107:$L$133),"")</f>
        <v/>
      </c>
      <c r="F67" s="100">
        <f>IFERROR((5-$D67)*$E67,"")</f>
        <v/>
      </c>
      <c r="W67" s="5" t="n">
        <v>2.95</v>
      </c>
      <c r="X67" s="8" t="n">
        <v>16.75</v>
      </c>
      <c r="Y67" s="5" t="n">
        <v>2.5</v>
      </c>
    </row>
    <row r="68" ht="22" customHeight="1" s="215">
      <c r="B68" s="98" t="n"/>
      <c r="C68" s="99" t="n"/>
      <c r="D68" s="100" t="n"/>
      <c r="E68" s="101" t="n"/>
      <c r="F68" s="100" t="n"/>
      <c r="W68" s="5" t="n">
        <v>3</v>
      </c>
      <c r="X68" s="8" t="n">
        <v>17</v>
      </c>
      <c r="Y68" s="5" t="n">
        <v>2.55</v>
      </c>
    </row>
    <row r="69">
      <c r="X69" s="8" t="n">
        <v>17.25</v>
      </c>
      <c r="Y69" s="5" t="n">
        <v>2.6</v>
      </c>
    </row>
    <row r="70">
      <c r="X70" s="8" t="n">
        <v>17.5</v>
      </c>
      <c r="Y70" s="5" t="n">
        <v>2.65</v>
      </c>
    </row>
    <row r="71">
      <c r="X71" s="8" t="n">
        <v>17.75</v>
      </c>
      <c r="Y71" s="5" t="n">
        <v>2.7</v>
      </c>
    </row>
    <row r="72">
      <c r="X72" s="8" t="n">
        <v>18</v>
      </c>
      <c r="Y72" s="5" t="n">
        <v>2.75</v>
      </c>
    </row>
    <row r="73">
      <c r="X73" s="8" t="n">
        <v>18.25</v>
      </c>
      <c r="Y73" s="5" t="n">
        <v>2.8</v>
      </c>
    </row>
    <row r="74">
      <c r="X74" s="8" t="n">
        <v>18.5</v>
      </c>
      <c r="Y74" s="5" t="n">
        <v>2.85</v>
      </c>
    </row>
    <row r="75">
      <c r="X75" s="8" t="n">
        <v>18.75</v>
      </c>
      <c r="Y75" s="5" t="n">
        <v>2.9</v>
      </c>
    </row>
    <row r="76">
      <c r="X76" s="8" t="n">
        <v>19</v>
      </c>
      <c r="Y76" s="5" t="n">
        <v>2.95</v>
      </c>
    </row>
    <row r="77">
      <c r="X77" s="8" t="n">
        <v>19.25</v>
      </c>
      <c r="Y77" s="5" t="n">
        <v>3</v>
      </c>
    </row>
    <row r="78">
      <c r="X78" s="8" t="n">
        <v>19.5</v>
      </c>
    </row>
    <row r="79">
      <c r="X79" s="8" t="n">
        <v>19.75</v>
      </c>
    </row>
    <row r="80">
      <c r="X80" s="8" t="n">
        <v>20</v>
      </c>
    </row>
    <row r="81">
      <c r="X81" s="8" t="n">
        <v>20.25</v>
      </c>
    </row>
    <row r="82">
      <c r="X82" s="8" t="n">
        <v>20.5</v>
      </c>
    </row>
    <row r="83">
      <c r="X83" s="8" t="n">
        <v>20.75</v>
      </c>
    </row>
    <row r="84">
      <c r="X84" s="8" t="n">
        <v>21</v>
      </c>
    </row>
    <row r="85">
      <c r="X85" s="8" t="n">
        <v>21.25</v>
      </c>
    </row>
    <row r="86">
      <c r="X86" s="8" t="n">
        <v>21.5</v>
      </c>
    </row>
    <row r="87">
      <c r="X87" s="8" t="n">
        <v>21.75</v>
      </c>
    </row>
    <row r="88">
      <c r="X88" s="8" t="n">
        <v>22</v>
      </c>
    </row>
    <row r="89">
      <c r="X89" s="8" t="n">
        <v>22.25</v>
      </c>
    </row>
    <row r="90">
      <c r="X90" s="8" t="n">
        <v>22.5</v>
      </c>
    </row>
    <row r="91">
      <c r="X91" s="8" t="n">
        <v>22.75</v>
      </c>
    </row>
    <row r="92">
      <c r="X92" s="8" t="n">
        <v>23</v>
      </c>
    </row>
    <row r="93">
      <c r="X93" s="8" t="n">
        <v>23.25</v>
      </c>
    </row>
    <row r="94">
      <c r="X94" s="8" t="n">
        <v>23.5</v>
      </c>
    </row>
    <row r="95">
      <c r="X95" s="8" t="n">
        <v>23.75</v>
      </c>
    </row>
    <row r="96">
      <c r="X96" s="8" t="n">
        <v>24</v>
      </c>
    </row>
    <row r="97">
      <c r="X97" s="8" t="n">
        <v>24.25</v>
      </c>
    </row>
    <row r="98">
      <c r="X98" s="8" t="n">
        <v>24.5</v>
      </c>
    </row>
    <row r="99">
      <c r="X99" s="8" t="n">
        <v>24.75</v>
      </c>
    </row>
    <row r="100">
      <c r="X100" s="8" t="n">
        <v>25</v>
      </c>
    </row>
    <row r="101">
      <c r="X101" s="8" t="n">
        <v>25.25</v>
      </c>
    </row>
    <row r="102">
      <c r="X102" s="8" t="n">
        <v>25.5</v>
      </c>
    </row>
    <row r="103">
      <c r="X103" s="8" t="n">
        <v>25.75</v>
      </c>
    </row>
    <row r="104">
      <c r="X104" s="8" t="n">
        <v>26</v>
      </c>
    </row>
    <row r="105">
      <c r="X105" s="8" t="n">
        <v>26.25</v>
      </c>
    </row>
    <row r="106">
      <c r="X106" s="8" t="n">
        <v>26.5</v>
      </c>
    </row>
    <row r="107">
      <c r="X107" s="8" t="n">
        <v>26.75</v>
      </c>
    </row>
    <row r="108">
      <c r="X108" s="8" t="n">
        <v>27</v>
      </c>
    </row>
    <row r="109">
      <c r="X109" s="8" t="n">
        <v>27.25</v>
      </c>
    </row>
    <row r="110">
      <c r="X110" s="8" t="n">
        <v>27.5</v>
      </c>
    </row>
    <row r="111">
      <c r="X111" s="8" t="n">
        <v>27.75</v>
      </c>
    </row>
    <row r="112">
      <c r="X112" s="8" t="n">
        <v>28</v>
      </c>
    </row>
    <row r="113">
      <c r="X113" s="8" t="n">
        <v>28.25</v>
      </c>
    </row>
    <row r="114">
      <c r="X114" s="8" t="n">
        <v>28.5</v>
      </c>
    </row>
    <row r="115">
      <c r="X115" s="8" t="n">
        <v>28.75</v>
      </c>
    </row>
    <row r="116">
      <c r="X116" s="8" t="n">
        <v>29</v>
      </c>
    </row>
    <row r="117">
      <c r="X117" s="8" t="n">
        <v>29.25</v>
      </c>
    </row>
    <row r="118">
      <c r="X118" s="8" t="n">
        <v>29.5</v>
      </c>
    </row>
    <row r="119">
      <c r="X119" s="8" t="n">
        <v>29.75</v>
      </c>
    </row>
    <row r="120">
      <c r="X120" s="8" t="n">
        <v>30</v>
      </c>
    </row>
  </sheetData>
  <mergeCells count="45">
    <mergeCell ref="Q27:T27"/>
    <mergeCell ref="H63:T66"/>
    <mergeCell ref="B6:E6"/>
    <mergeCell ref="G20:J20"/>
    <mergeCell ref="B28:E28"/>
    <mergeCell ref="Q17:T17"/>
    <mergeCell ref="L6:O6"/>
    <mergeCell ref="Q11:T11"/>
    <mergeCell ref="B5:E5"/>
    <mergeCell ref="B20:E20"/>
    <mergeCell ref="B24:T24"/>
    <mergeCell ref="L11:O11"/>
    <mergeCell ref="L27:O27"/>
    <mergeCell ref="H25:I25"/>
    <mergeCell ref="B4:E4"/>
    <mergeCell ref="C25:D25"/>
    <mergeCell ref="L17:O17"/>
    <mergeCell ref="G11:J11"/>
    <mergeCell ref="G27:J27"/>
    <mergeCell ref="Q28:T28"/>
    <mergeCell ref="B7:T7"/>
    <mergeCell ref="M25:N25"/>
    <mergeCell ref="L28:O28"/>
    <mergeCell ref="B27:E27"/>
    <mergeCell ref="G17:J17"/>
    <mergeCell ref="B11:E11"/>
    <mergeCell ref="Q5:T5"/>
    <mergeCell ref="Q20:T20"/>
    <mergeCell ref="B2:T2"/>
    <mergeCell ref="Q10:T10"/>
    <mergeCell ref="G10:J10"/>
    <mergeCell ref="G28:J28"/>
    <mergeCell ref="L5:O5"/>
    <mergeCell ref="G6:J6"/>
    <mergeCell ref="B17:E17"/>
    <mergeCell ref="B8:K8"/>
    <mergeCell ref="B61:T61"/>
    <mergeCell ref="Q4:T4"/>
    <mergeCell ref="L4:O4"/>
    <mergeCell ref="L20:O20"/>
    <mergeCell ref="L10:O10"/>
    <mergeCell ref="Q6:T6"/>
    <mergeCell ref="B10:E10"/>
    <mergeCell ref="R25:T25"/>
    <mergeCell ref="G5:J5"/>
  </mergeCells>
  <dataValidations count="3">
    <dataValidation sqref="N9" showDropDown="0" showInputMessage="0" showErrorMessage="0" allowBlank="1" type="list">
      <formula1>$X$2:$X$120</formula1>
    </dataValidation>
    <dataValidation sqref="C9" showDropDown="0" showInputMessage="0" showErrorMessage="0" allowBlank="1" type="list">
      <formula1>$W$2:$W$68</formula1>
    </dataValidation>
    <dataValidation sqref="H9" showDropDown="0" showInputMessage="0" showErrorMessage="0" allowBlank="1" type="list">
      <formula1>$Y$2:$Y$77</formula1>
    </dataValidation>
  </dataValidations>
  <pageMargins left="0.75" right="0.75" top="1" bottom="1" header="0.5" footer="0.5"/>
  <pageSetup orientation="landscape"/>
</worksheet>
</file>

<file path=xl/worksheets/sheet5.xml><?xml version="1.0" encoding="utf-8"?>
<worksheet xmlns="http://schemas.openxmlformats.org/spreadsheetml/2006/main">
  <sheetPr codeName="Sheet3">
    <outlinePr summaryBelow="1" summaryRight="1"/>
    <pageSetUpPr fitToPage="1"/>
  </sheetPr>
  <dimension ref="A1:M60"/>
  <sheetViews>
    <sheetView showGridLines="0" topLeftCell="A30" zoomScale="139" workbookViewId="0">
      <selection activeCell="G9" sqref="G9"/>
    </sheetView>
  </sheetViews>
  <sheetFormatPr baseColWidth="10" defaultColWidth="9" defaultRowHeight="14"/>
  <cols>
    <col width="40" customWidth="1" style="215" min="1" max="1"/>
    <col width="13" customWidth="1" style="215" min="2" max="5"/>
    <col width="46" customWidth="1" style="215" min="6" max="7"/>
    <col width="14" customWidth="1" style="215" min="8" max="8"/>
    <col hidden="1" width="16" customWidth="1" style="215" min="9" max="9"/>
    <col hidden="1" width="13" customWidth="1" style="215" min="10" max="12"/>
    <col width="13" customWidth="1" style="215" min="13" max="14"/>
  </cols>
  <sheetData>
    <row r="1" ht="34" customHeight="1" s="215">
      <c r="A1" s="109" t="inlineStr">
        <is>
          <t>Sellability &amp; Value Scorecard 1-5</t>
        </is>
      </c>
      <c r="B1" s="91" t="inlineStr">
        <is>
          <t>Current Risk Score</t>
        </is>
      </c>
      <c r="C1" s="91" t="inlineStr">
        <is>
          <t>Future Risk Score</t>
        </is>
      </c>
      <c r="D1" s="91" t="inlineStr">
        <is>
          <t>Current Multiple Score</t>
        </is>
      </c>
      <c r="E1" s="91" t="inlineStr">
        <is>
          <t>Future Multiple Score</t>
        </is>
      </c>
      <c r="F1" s="38" t="inlineStr">
        <is>
          <t>What a 1 looks like</t>
        </is>
      </c>
      <c r="G1" s="38" t="inlineStr">
        <is>
          <t>What a 5 looks like</t>
        </is>
      </c>
    </row>
    <row r="2"/>
    <row r="3" ht="40" customHeight="1" s="215">
      <c r="A3" s="221" t="inlineStr">
        <is>
          <t>Owner independence</t>
        </is>
      </c>
      <c r="B3" s="207">
        <f>IFERROR(SUMIF(Engine!$V$107:$V$133,$A3,Engine!$M$107:$M$133)/SUMIF(Engine!$V$107:$V$133,$A3,Engine!$N$107:$N$133),"")</f>
        <v/>
      </c>
      <c r="C3" s="207">
        <f>IFERROR(SUMIF(Engine!$V$107:$V$133,$A3,Engine!$Q$107:$Q$133)/SUMIF(Engine!$V$107:$V$133,$A3,Engine!$R$107:$R$133),"")</f>
        <v/>
      </c>
      <c r="D3" s="207">
        <f>IFERROR(SUMIF(Engine!$V$107:$V$133,$A3,Engine!$O$107:$O$133)/SUMIF(Engine!$V$107:$V$133,$A3,Engine!$P$107:$P$133),"")</f>
        <v/>
      </c>
      <c r="E3" s="207">
        <f>IFERROR(SUMIF(Engine!$V$107:$V$133,$A3,Engine!$S$107:$S$133)/SUMIF(Engine!$V$107:$V$133,$A3,Engine!$T$107:$T$133),"")</f>
        <v/>
      </c>
      <c r="F3" s="208" t="inlineStr">
        <is>
          <t>Owner is in every sale, approval and key decision; business stops without them</t>
        </is>
      </c>
      <c r="G3" s="208" t="inlineStr">
        <is>
          <t>Business runs 4+ weeks without owner; GM/second layer holds all key authorities</t>
        </is>
      </c>
      <c r="H3" s="261" t="n"/>
      <c r="I3" s="261" t="n"/>
      <c r="J3" s="261" t="n"/>
      <c r="K3" s="261" t="n"/>
      <c r="L3" s="150" t="n"/>
      <c r="M3" s="261" t="n"/>
    </row>
    <row r="4" ht="45" customHeight="1" s="215">
      <c r="A4" s="151">
        <f>Questions!$A$4</f>
        <v/>
      </c>
      <c r="B4" s="149">
        <f>IF(Questions!$O$4="","",Questions!$O$4)</f>
        <v/>
      </c>
      <c r="C4" s="149">
        <f>IF(Questions!$P$4="","",Questions!$P$4)</f>
        <v/>
      </c>
      <c r="D4" s="149">
        <f>IF(Questions!$O$4="","",Questions!$O$4)</f>
        <v/>
      </c>
      <c r="E4" s="149">
        <f>IF(Questions!$P$4="","",Questions!$P$4)</f>
        <v/>
      </c>
      <c r="F4" s="208" t="n"/>
      <c r="G4" s="208" t="n"/>
      <c r="H4" s="261" t="n"/>
      <c r="I4" s="261" t="n"/>
      <c r="J4" s="261" t="n"/>
      <c r="K4" s="261" t="n"/>
      <c r="L4" s="150" t="n"/>
      <c r="M4" s="261" t="n"/>
    </row>
    <row r="5" ht="45" customHeight="1" s="215">
      <c r="A5" s="151">
        <f>Questions!$A$5</f>
        <v/>
      </c>
      <c r="B5" s="149">
        <f>IF(Questions!$O$5="","",Questions!$O$5)</f>
        <v/>
      </c>
      <c r="C5" s="149">
        <f>IF(Questions!$P$5="","",Questions!$P$5)</f>
        <v/>
      </c>
      <c r="D5" s="149">
        <f>IF(Questions!$O$5="","",Questions!$O$5)</f>
        <v/>
      </c>
      <c r="E5" s="149">
        <f>IF(Questions!$P$5="","",Questions!$P$5)</f>
        <v/>
      </c>
      <c r="F5" s="208" t="n"/>
      <c r="G5" s="208" t="n"/>
      <c r="H5" s="261" t="n"/>
      <c r="I5" s="261" t="n"/>
      <c r="J5" s="261" t="n"/>
      <c r="K5" s="261" t="n"/>
      <c r="L5" s="150" t="n"/>
      <c r="M5" s="261" t="n"/>
    </row>
    <row r="6" ht="45" customHeight="1" s="215">
      <c r="A6" s="151">
        <f>Questions!$A$6</f>
        <v/>
      </c>
      <c r="B6" s="149">
        <f>IF(Questions!$O$6="","",Questions!$O$6)</f>
        <v/>
      </c>
      <c r="C6" s="149">
        <f>IF(Questions!$P$6="","",Questions!$P$6)</f>
        <v/>
      </c>
      <c r="D6" s="149">
        <f>IF(Questions!$O$6="","",Questions!$O$6)</f>
        <v/>
      </c>
      <c r="E6" s="149">
        <f>IF(Questions!$P$6="","",Questions!$P$6)</f>
        <v/>
      </c>
      <c r="F6" s="208" t="n"/>
      <c r="G6" s="208" t="n"/>
      <c r="H6" s="261" t="n"/>
      <c r="I6" s="261" t="n"/>
      <c r="J6" s="261" t="n"/>
      <c r="K6" s="261" t="n"/>
      <c r="L6" s="150" t="n"/>
      <c r="M6" s="261" t="n"/>
    </row>
    <row r="7" ht="45" customHeight="1" s="215">
      <c r="A7" s="151">
        <f>Questions!$A$7</f>
        <v/>
      </c>
      <c r="B7" s="149">
        <f>IF(Questions!$O$7="","",Questions!$O$7)</f>
        <v/>
      </c>
      <c r="C7" s="149">
        <f>IF(Questions!$P$7="","",Questions!$P$7)</f>
        <v/>
      </c>
      <c r="D7" s="149">
        <f>IF(Questions!$O$7="","",Questions!$O$7)</f>
        <v/>
      </c>
      <c r="E7" s="149">
        <f>IF(Questions!$P$7="","",Questions!$P$7)</f>
        <v/>
      </c>
      <c r="F7" s="208" t="n"/>
      <c r="G7" s="208" t="n"/>
      <c r="H7" s="261" t="n"/>
      <c r="I7" s="261" t="n"/>
      <c r="J7" s="261" t="n"/>
      <c r="K7" s="261" t="n"/>
      <c r="L7" s="150" t="n"/>
      <c r="M7" s="261" t="n"/>
    </row>
    <row r="8" ht="40" customHeight="1" s="215">
      <c r="A8" s="221" t="inlineStr">
        <is>
          <t>Financial Quality &amp; Revenue Model</t>
        </is>
      </c>
      <c r="B8" s="207">
        <f>IFERROR(SUMIF(Engine!$V$107:$V$133,$A8,Engine!$M$107:$M$133)/SUMIF(Engine!$V$107:$V$133,$A8,Engine!$N$107:$N$133),"")</f>
        <v/>
      </c>
      <c r="C8" s="207">
        <f>IFERROR(SUMIF(Engine!$V$107:$V$133,$A8,Engine!$Q$107:$Q$133)/SUMIF(Engine!$V$107:$V$133,$A8,Engine!$R$107:$R$133),"")</f>
        <v/>
      </c>
      <c r="D8" s="207">
        <f>IFERROR(SUMIF(Engine!$V$107:$V$133,$A8,Engine!$O$107:$O$133)/SUMIF(Engine!$V$107:$V$133,$A8,Engine!$P$107:$P$133),"")</f>
        <v/>
      </c>
      <c r="E8" s="207">
        <f>IFERROR(SUMIF(Engine!$V$107:$V$133,$A8,Engine!$S$107:$S$133)/SUMIF(Engine!$V$107:$V$133,$A8,Engine!$T$107:$T$133),"")</f>
        <v/>
      </c>
      <c r="F8" s="208" t="inlineStr">
        <is>
          <t>Cash-basis books, commingled personal expenses, no monthly close</t>
        </is>
      </c>
      <c r="G8" s="208" t="inlineStr">
        <is>
          <t>Accrual GAAP-quality financials,  QoE-survivable</t>
        </is>
      </c>
      <c r="H8" s="261" t="n"/>
      <c r="I8" s="261" t="n"/>
      <c r="J8" s="261" t="n"/>
      <c r="K8" s="261" t="n"/>
      <c r="L8" s="150" t="n"/>
      <c r="M8" s="261" t="n"/>
    </row>
    <row r="9" ht="45" customHeight="1" s="215">
      <c r="A9" s="151">
        <f>Questions!$A$10</f>
        <v/>
      </c>
      <c r="B9" s="149">
        <f>IF(Questions!$O$10="","",Questions!$O$10)</f>
        <v/>
      </c>
      <c r="C9" s="149">
        <f>IF(Questions!$P$10="","",Questions!$P$10)</f>
        <v/>
      </c>
      <c r="D9" s="149">
        <f>IF(Questions!$O$10="","",Questions!$O$10)</f>
        <v/>
      </c>
      <c r="E9" s="149">
        <f>IF(Questions!$P$10="","",Questions!$P$10)</f>
        <v/>
      </c>
      <c r="F9" s="208" t="n"/>
      <c r="G9" s="208" t="n"/>
      <c r="H9" s="261" t="n"/>
      <c r="I9" s="261" t="n"/>
      <c r="J9" s="261" t="n"/>
      <c r="K9" s="261" t="n"/>
      <c r="L9" s="150" t="n"/>
      <c r="M9" s="261" t="n"/>
    </row>
    <row r="10" ht="45" customHeight="1" s="215">
      <c r="A10" s="151">
        <f>Questions!$A$11</f>
        <v/>
      </c>
      <c r="B10" s="149">
        <f>IF(Questions!$O$11="","",Questions!$O$11)</f>
        <v/>
      </c>
      <c r="C10" s="149">
        <f>IF(Questions!$P$11="","",Questions!$P$11)</f>
        <v/>
      </c>
      <c r="D10" s="149">
        <f>IF(Questions!$O$11="","",Questions!$O$11)</f>
        <v/>
      </c>
      <c r="E10" s="149">
        <f>IF(Questions!$P$11="","",Questions!$P$11)</f>
        <v/>
      </c>
      <c r="F10" s="208" t="n"/>
      <c r="G10" s="208" t="n"/>
      <c r="H10" s="261" t="n"/>
      <c r="I10" s="261" t="n"/>
      <c r="J10" s="261" t="n"/>
      <c r="K10" s="261" t="n"/>
      <c r="L10" s="150" t="n"/>
      <c r="M10" s="261" t="n"/>
    </row>
    <row r="11" ht="45" customHeight="1" s="215">
      <c r="A11" s="151">
        <f>Questions!$A$12</f>
        <v/>
      </c>
      <c r="B11" s="149">
        <f>IF(Questions!$O$12="","",Questions!$O$12)</f>
        <v/>
      </c>
      <c r="C11" s="149">
        <f>IF(Questions!$P$12="","",Questions!$P$12)</f>
        <v/>
      </c>
      <c r="D11" s="149">
        <f>IF(Questions!$O$12="","",Questions!$O$12)</f>
        <v/>
      </c>
      <c r="E11" s="149">
        <f>IF(Questions!$P$12="","",Questions!$P$12)</f>
        <v/>
      </c>
      <c r="F11" s="208" t="n"/>
      <c r="G11" s="208" t="n"/>
      <c r="H11" s="261" t="n"/>
      <c r="I11" s="261" t="n"/>
      <c r="J11" s="261" t="n"/>
      <c r="K11" s="261" t="n"/>
      <c r="L11" s="150" t="n"/>
      <c r="M11" s="261" t="n"/>
    </row>
    <row r="12" ht="45" customHeight="1" s="215">
      <c r="A12" s="151">
        <f>Questions!$A$13</f>
        <v/>
      </c>
      <c r="B12" s="149">
        <f>IF(Questions!$O$13="","",Questions!$O$13)</f>
        <v/>
      </c>
      <c r="C12" s="149">
        <f>IF(Questions!$P$13="","",Questions!$P$13)</f>
        <v/>
      </c>
      <c r="D12" s="149">
        <f>IF(Questions!$O$13="","",Questions!$O$13)</f>
        <v/>
      </c>
      <c r="E12" s="149">
        <f>IF(Questions!$P$13="","",Questions!$P$13)</f>
        <v/>
      </c>
      <c r="F12" s="208" t="n"/>
      <c r="G12" s="208" t="n"/>
      <c r="H12" s="261" t="n"/>
      <c r="I12" s="261" t="n"/>
      <c r="J12" s="261" t="n"/>
      <c r="K12" s="261" t="n"/>
      <c r="L12" s="150" t="n"/>
      <c r="M12" s="261" t="n"/>
    </row>
    <row r="13" ht="45" customHeight="1" s="215">
      <c r="A13" s="151">
        <f>Questions!$A$14</f>
        <v/>
      </c>
      <c r="B13" s="149">
        <f>IF(Questions!$O$14="","",Questions!$O$14)</f>
        <v/>
      </c>
      <c r="C13" s="149">
        <f>IF(Questions!$P$14="","",Questions!$P$14)</f>
        <v/>
      </c>
      <c r="D13" s="149">
        <f>IF(Questions!$O$14="","",Questions!$O$14)</f>
        <v/>
      </c>
      <c r="E13" s="149">
        <f>IF(Questions!$P$14="","",Questions!$P$14)</f>
        <v/>
      </c>
      <c r="F13" s="208" t="n"/>
      <c r="G13" s="208" t="n"/>
      <c r="H13" s="261" t="n"/>
      <c r="I13" s="261" t="n"/>
      <c r="J13" s="261" t="n"/>
      <c r="K13" s="261" t="n"/>
      <c r="L13" s="150" t="n"/>
      <c r="M13" s="261" t="n"/>
    </row>
    <row r="14" ht="45" customHeight="1" s="215">
      <c r="A14" s="151">
        <f>Questions!$A$15</f>
        <v/>
      </c>
      <c r="B14" s="149">
        <f>IF(Questions!$O$15="","",Questions!$O$15)</f>
        <v/>
      </c>
      <c r="C14" s="149">
        <f>IF(Questions!$P$15="","",Questions!$P$15)</f>
        <v/>
      </c>
      <c r="D14" s="149">
        <f>IF(Questions!$O$15="","",Questions!$O$15)</f>
        <v/>
      </c>
      <c r="E14" s="149">
        <f>IF(Questions!$P$15="","",Questions!$P$15)</f>
        <v/>
      </c>
      <c r="F14" s="208" t="n"/>
      <c r="G14" s="208" t="n"/>
      <c r="H14" s="261" t="n"/>
      <c r="I14" s="261" t="n"/>
      <c r="J14" s="261" t="n"/>
      <c r="K14" s="261" t="n"/>
      <c r="L14" s="150" t="n"/>
      <c r="M14" s="261" t="n"/>
    </row>
    <row r="15" ht="40" customHeight="1" s="215">
      <c r="A15" s="221" t="inlineStr">
        <is>
          <t>Business Quality</t>
        </is>
      </c>
      <c r="B15" s="207">
        <f>IFERROR(SUMIF(Engine!$V$107:$V$133,$A15,Engine!$M$107:$M$133)/SUMIF(Engine!$V$107:$V$133,$A15,Engine!$N$107:$N$133),"")</f>
        <v/>
      </c>
      <c r="C15" s="207">
        <f>IFERROR(SUMIF(Engine!$V$107:$V$133,$A15,Engine!$Q$107:$Q$133)/SUMIF(Engine!$V$107:$V$133,$A15,Engine!$R$107:$R$133),"")</f>
        <v/>
      </c>
      <c r="D15" s="207">
        <f>IFERROR(SUMIF(Engine!$V$107:$V$133,$A15,Engine!$O$107:$O$133)/SUMIF(Engine!$V$107:$V$133,$A15,Engine!$P$107:$P$133),"")</f>
        <v/>
      </c>
      <c r="E15" s="207">
        <f>IFERROR(SUMIF(Engine!$V$107:$V$133,$A15,Engine!$S$107:$S$133)/SUMIF(Engine!$V$107:$V$133,$A15,Engine!$T$107:$T$133),"")</f>
        <v/>
      </c>
      <c r="F15" s="208" t="inlineStr">
        <is>
          <t>Top customer &gt;30% of revenue; no second layer of management; margin below industry; cash cycle &gt;90 days and lumpy billing</t>
        </is>
      </c>
      <c r="G15" s="208" t="inlineStr">
        <is>
          <t>No customer &gt;10% of revenue; complete leadership team, succession-ready; margin above industry; cash conversion cycle &lt;30 days</t>
        </is>
      </c>
      <c r="H15" s="261" t="n"/>
      <c r="I15" s="261" t="n"/>
      <c r="J15" s="261" t="n"/>
      <c r="K15" s="261" t="n"/>
      <c r="L15" s="150" t="n"/>
      <c r="M15" s="261" t="n"/>
    </row>
    <row r="16" ht="45" customHeight="1" s="215">
      <c r="A16" s="151">
        <f>Questions!$A$18</f>
        <v/>
      </c>
      <c r="B16" s="149">
        <f>IF(Questions!$O$18="","",Questions!$O$18)</f>
        <v/>
      </c>
      <c r="C16" s="149">
        <f>IF(Questions!$P$18="","",Questions!$P$18)</f>
        <v/>
      </c>
      <c r="D16" s="149">
        <f>IF(Questions!$O$18="","",Questions!$O$18)</f>
        <v/>
      </c>
      <c r="E16" s="149">
        <f>IF(Questions!$P$18="","",Questions!$P$18)</f>
        <v/>
      </c>
      <c r="F16" s="208" t="n"/>
      <c r="G16" s="208" t="n"/>
      <c r="H16" s="261" t="n"/>
      <c r="I16" s="261" t="n"/>
      <c r="J16" s="261" t="n"/>
      <c r="K16" s="261" t="n"/>
      <c r="L16" s="150" t="n"/>
      <c r="M16" s="261" t="n"/>
    </row>
    <row r="17" ht="45" customHeight="1" s="215">
      <c r="A17" s="151">
        <f>Questions!$A$19</f>
        <v/>
      </c>
      <c r="B17" s="149">
        <f>IF(Questions!$O$19="","",Questions!$O$19)</f>
        <v/>
      </c>
      <c r="C17" s="149">
        <f>IF(Questions!$P$19="","",Questions!$P$19)</f>
        <v/>
      </c>
      <c r="D17" s="149">
        <f>IF(Questions!$O$19="","",Questions!$O$19)</f>
        <v/>
      </c>
      <c r="E17" s="149">
        <f>IF(Questions!$P$19="","",Questions!$P$19)</f>
        <v/>
      </c>
      <c r="F17" s="208" t="n"/>
      <c r="G17" s="208" t="n"/>
      <c r="H17" s="261" t="n"/>
      <c r="I17" s="261" t="n"/>
      <c r="J17" s="261" t="n"/>
      <c r="K17" s="261" t="n"/>
      <c r="L17" s="150" t="n"/>
      <c r="M17" s="261" t="n"/>
    </row>
    <row r="18" ht="45" customHeight="1" s="215">
      <c r="A18" s="151">
        <f>Questions!$A$20</f>
        <v/>
      </c>
      <c r="B18" s="149">
        <f>IF(Questions!$O$20="","",Questions!$O$20)</f>
        <v/>
      </c>
      <c r="C18" s="149">
        <f>IF(Questions!$P$20="","",Questions!$P$20)</f>
        <v/>
      </c>
      <c r="D18" s="149">
        <f>IF(Questions!$O$20="","",Questions!$O$20)</f>
        <v/>
      </c>
      <c r="E18" s="149">
        <f>IF(Questions!$P$20="","",Questions!$P$20)</f>
        <v/>
      </c>
      <c r="F18" s="208" t="n"/>
      <c r="G18" s="208" t="n"/>
      <c r="H18" s="261" t="n"/>
      <c r="I18" s="261" t="n"/>
      <c r="J18" s="261" t="n"/>
      <c r="K18" s="261" t="n"/>
      <c r="L18" s="150" t="n"/>
      <c r="M18" s="261" t="n"/>
    </row>
    <row r="19" ht="45" customHeight="1" s="215">
      <c r="A19" s="151">
        <f>Questions!$A$21</f>
        <v/>
      </c>
      <c r="B19" s="149">
        <f>IF(Questions!$O$21="","",Questions!$O$21)</f>
        <v/>
      </c>
      <c r="C19" s="149">
        <f>IF(Questions!$P$21="","",Questions!$P$21)</f>
        <v/>
      </c>
      <c r="D19" s="149">
        <f>IF(Questions!$O$21="","",Questions!$O$21)</f>
        <v/>
      </c>
      <c r="E19" s="149">
        <f>IF(Questions!$P$21="","",Questions!$P$21)</f>
        <v/>
      </c>
      <c r="F19" s="208" t="n"/>
      <c r="G19" s="208" t="n"/>
      <c r="H19" s="261" t="n"/>
      <c r="I19" s="261" t="n"/>
      <c r="J19" s="261" t="n"/>
      <c r="K19" s="261" t="n"/>
      <c r="L19" s="150" t="n"/>
      <c r="M19" s="261" t="n"/>
    </row>
    <row r="20" ht="45" customHeight="1" s="215">
      <c r="A20" s="151">
        <f>Questions!$A$22</f>
        <v/>
      </c>
      <c r="B20" s="149">
        <f>IF(Questions!$O$22="","",Questions!$O$22)</f>
        <v/>
      </c>
      <c r="C20" s="149">
        <f>IF(Questions!$P$22="","",Questions!$P$22)</f>
        <v/>
      </c>
      <c r="D20" s="149">
        <f>IF(Questions!$O$22="","",Questions!$O$22)</f>
        <v/>
      </c>
      <c r="E20" s="149">
        <f>IF(Questions!$P$22="","",Questions!$P$22)</f>
        <v/>
      </c>
      <c r="F20" s="208" t="n"/>
      <c r="G20" s="208" t="n"/>
      <c r="H20" s="261" t="n"/>
      <c r="I20" s="261" t="n"/>
      <c r="J20" s="261" t="n"/>
      <c r="K20" s="261" t="n"/>
      <c r="L20" s="150" t="n"/>
      <c r="M20" s="261" t="n"/>
    </row>
    <row r="21" ht="45" customHeight="1" s="215">
      <c r="A21" s="151">
        <f>Questions!$A$23</f>
        <v/>
      </c>
      <c r="B21" s="149">
        <f>IF(Questions!$O$23="","",Questions!$O$23)</f>
        <v/>
      </c>
      <c r="C21" s="149">
        <f>IF(Questions!$P$23="","",Questions!$P$23)</f>
        <v/>
      </c>
      <c r="D21" s="149">
        <f>IF(Questions!$O$23="","",Questions!$O$23)</f>
        <v/>
      </c>
      <c r="E21" s="149">
        <f>IF(Questions!$P$23="","",Questions!$P$23)</f>
        <v/>
      </c>
      <c r="F21" s="208" t="n"/>
      <c r="G21" s="208" t="n"/>
      <c r="H21" s="261" t="n"/>
      <c r="I21" s="261" t="n"/>
      <c r="J21" s="261" t="n"/>
      <c r="K21" s="261" t="n"/>
      <c r="L21" s="150" t="n"/>
      <c r="M21" s="261" t="n"/>
    </row>
    <row r="22" ht="45" customHeight="1" s="215">
      <c r="A22" s="151">
        <f>Questions!$A$24</f>
        <v/>
      </c>
      <c r="B22" s="149">
        <f>IF(Questions!$O$24="","",Questions!$O$24)</f>
        <v/>
      </c>
      <c r="C22" s="149">
        <f>IF(Questions!$P$24="","",Questions!$P$24)</f>
        <v/>
      </c>
      <c r="D22" s="149">
        <f>IF(Questions!$O$24="","",Questions!$O$24)</f>
        <v/>
      </c>
      <c r="E22" s="149">
        <f>IF(Questions!$P$24="","",Questions!$P$24)</f>
        <v/>
      </c>
      <c r="F22" s="208" t="n"/>
      <c r="G22" s="208" t="n"/>
      <c r="H22" s="261" t="n"/>
      <c r="I22" s="261" t="n"/>
      <c r="J22" s="261" t="n"/>
      <c r="K22" s="261" t="n"/>
      <c r="L22" s="150" t="n"/>
      <c r="M22" s="261" t="n"/>
    </row>
    <row r="23" ht="40" customHeight="1" s="215">
      <c r="A23" s="221" t="inlineStr">
        <is>
          <t>Systems &amp; Documentation</t>
        </is>
      </c>
      <c r="B23" s="207">
        <f>IFERROR(SUMIF(Engine!$V$107:$V$133,$A23,Engine!$M$107:$M$133)/SUMIF(Engine!$V$107:$V$133,$A23,Engine!$N$107:$N$133),"")</f>
        <v/>
      </c>
      <c r="C23" s="207">
        <f>IFERROR(SUMIF(Engine!$V$107:$V$133,$A23,Engine!$Q$107:$Q$133)/SUMIF(Engine!$V$107:$V$133,$A23,Engine!$R$107:$R$133),"")</f>
        <v/>
      </c>
      <c r="D23" s="207">
        <f>IFERROR(SUMIF(Engine!$V$107:$V$133,$A23,Engine!$O$107:$O$133)/SUMIF(Engine!$V$107:$V$133,$A23,Engine!$P$107:$P$133),"")</f>
        <v/>
      </c>
      <c r="E23" s="207">
        <f>IFERROR(SUMIF(Engine!$V$107:$V$133,$A23,Engine!$S$107:$S$133)/SUMIF(Engine!$V$107:$V$133,$A23,Engine!$T$107:$T$133),"")</f>
        <v/>
      </c>
      <c r="F23" s="208" t="inlineStr">
        <is>
          <t>Processes live in the owner's head; no SOPs, ad-hoc tooling</t>
        </is>
      </c>
      <c r="G23" s="208" t="inlineStr">
        <is>
          <t>Documented SOPs for core processes; modern integrated systems (CRM/ERP/FSM)</t>
        </is>
      </c>
      <c r="H23" s="261" t="n"/>
      <c r="I23" s="261" t="n"/>
      <c r="J23" s="261" t="n"/>
      <c r="K23" s="261" t="n"/>
      <c r="L23" s="150" t="n"/>
      <c r="M23" s="261" t="n"/>
    </row>
    <row r="24" ht="45" customHeight="1" s="215">
      <c r="A24" s="151">
        <f>Questions!$A$27</f>
        <v/>
      </c>
      <c r="B24" s="149">
        <f>IF(Questions!$O$27="","",Questions!$O$27)</f>
        <v/>
      </c>
      <c r="C24" s="149">
        <f>IF(Questions!$P$27="","",Questions!$P$27)</f>
        <v/>
      </c>
      <c r="D24" s="149">
        <f>IF(Questions!$O$27="","",Questions!$O$27)</f>
        <v/>
      </c>
      <c r="E24" s="149">
        <f>IF(Questions!$P$27="","",Questions!$P$27)</f>
        <v/>
      </c>
      <c r="F24" s="208" t="n"/>
      <c r="G24" s="208" t="n"/>
      <c r="H24" s="261" t="n"/>
      <c r="I24" s="261" t="n"/>
      <c r="J24" s="261" t="n"/>
      <c r="K24" s="261" t="n"/>
      <c r="L24" s="150" t="n"/>
      <c r="M24" s="261" t="n"/>
    </row>
    <row r="25" ht="45" customHeight="1" s="215">
      <c r="A25" s="151">
        <f>Questions!$A$28</f>
        <v/>
      </c>
      <c r="B25" s="149">
        <f>IF(Questions!$O$28="","",Questions!$O$28)</f>
        <v/>
      </c>
      <c r="C25" s="149">
        <f>IF(Questions!$P$28="","",Questions!$P$28)</f>
        <v/>
      </c>
      <c r="D25" s="149">
        <f>IF(Questions!$O$28="","",Questions!$O$28)</f>
        <v/>
      </c>
      <c r="E25" s="149">
        <f>IF(Questions!$P$28="","",Questions!$P$28)</f>
        <v/>
      </c>
      <c r="F25" s="208" t="n"/>
      <c r="G25" s="208" t="n"/>
      <c r="H25" s="261" t="n"/>
      <c r="I25" s="261" t="n"/>
      <c r="J25" s="261" t="n"/>
      <c r="K25" s="261" t="n"/>
      <c r="L25" s="150" t="n"/>
      <c r="M25" s="261" t="n"/>
    </row>
    <row r="26" ht="45" customHeight="1" s="215">
      <c r="A26" s="151">
        <f>Questions!$A$29</f>
        <v/>
      </c>
      <c r="B26" s="149">
        <f>IF(Questions!$O$29="","",Questions!$O$29)</f>
        <v/>
      </c>
      <c r="C26" s="149">
        <f>IF(Questions!$P$29="","",Questions!$P$29)</f>
        <v/>
      </c>
      <c r="D26" s="149">
        <f>IF(Questions!$O$29="","",Questions!$O$29)</f>
        <v/>
      </c>
      <c r="E26" s="149">
        <f>IF(Questions!$P$29="","",Questions!$P$29)</f>
        <v/>
      </c>
      <c r="F26" s="208" t="n"/>
      <c r="G26" s="208" t="n"/>
      <c r="H26" s="261" t="n"/>
      <c r="I26" s="261" t="n"/>
      <c r="J26" s="261" t="n"/>
      <c r="K26" s="261" t="n"/>
      <c r="L26" s="150" t="n"/>
      <c r="M26" s="261" t="n"/>
    </row>
    <row r="27" ht="40" customHeight="1" s="215">
      <c r="A27" s="221" t="inlineStr">
        <is>
          <t>Transferability</t>
        </is>
      </c>
      <c r="B27" s="207">
        <f>IFERROR(SUMIF(Engine!$V$107:$V$133,$A27,Engine!$M$107:$M$133)/SUMIF(Engine!$V$107:$V$133,$A27,Engine!$N$107:$N$133),"")</f>
        <v/>
      </c>
      <c r="C27" s="207">
        <f>IFERROR(SUMIF(Engine!$V$107:$V$133,$A27,Engine!$Q$107:$Q$133)/SUMIF(Engine!$V$107:$V$133,$A27,Engine!$R$107:$R$133),"")</f>
        <v/>
      </c>
      <c r="D27" s="207">
        <f>IFERROR(SUMIF(Engine!$V$107:$V$133,$A27,Engine!$O$107:$O$133)/SUMIF(Engine!$V$107:$V$133,$A27,Engine!$P$107:$P$133),"")</f>
        <v/>
      </c>
      <c r="E27" s="207">
        <f>IFERROR(SUMIF(Engine!$V$107:$V$133,$A27,Engine!$S$107:$S$133)/SUMIF(Engine!$V$107:$V$133,$A27,Engine!$T$107:$T$133),"")</f>
        <v/>
      </c>
      <c r="F27" s="208" t="inlineStr">
        <is>
          <t>Key customer &amp; supplier relationships are personal to the owner</t>
        </is>
      </c>
      <c r="G27" s="208" t="inlineStr">
        <is>
          <t>Relationships institutionalized: contracts, account teams, multi-threaded contacts</t>
        </is>
      </c>
      <c r="H27" s="261" t="n"/>
      <c r="I27" s="261" t="n"/>
      <c r="J27" s="261" t="n"/>
      <c r="K27" s="261" t="n"/>
      <c r="L27" s="150" t="n"/>
      <c r="M27" s="261" t="n"/>
    </row>
    <row r="28" ht="45" customHeight="1" s="215">
      <c r="A28" s="151">
        <f>Questions!$A$32</f>
        <v/>
      </c>
      <c r="B28" s="149">
        <f>IF(Questions!$O$32="","",Questions!$O$32)</f>
        <v/>
      </c>
      <c r="C28" s="149">
        <f>IF(Questions!$P$32="","",Questions!$P$32)</f>
        <v/>
      </c>
      <c r="D28" s="149">
        <f>IF(Questions!$O$32="","",Questions!$O$32)</f>
        <v/>
      </c>
      <c r="E28" s="149">
        <f>IF(Questions!$P$32="","",Questions!$P$32)</f>
        <v/>
      </c>
      <c r="F28" s="208" t="n"/>
      <c r="G28" s="208" t="n"/>
      <c r="H28" s="261" t="n"/>
      <c r="I28" s="261" t="n"/>
      <c r="J28" s="261" t="n"/>
      <c r="K28" s="261" t="n"/>
      <c r="L28" s="150" t="n"/>
      <c r="M28" s="261" t="n"/>
    </row>
    <row r="29" ht="45" customHeight="1" s="215">
      <c r="A29" s="151">
        <f>Questions!$A$33</f>
        <v/>
      </c>
      <c r="B29" s="149">
        <f>IF(Questions!$O$33="","",Questions!$O$33)</f>
        <v/>
      </c>
      <c r="C29" s="149">
        <f>IF(Questions!$P$33="","",Questions!$P$33)</f>
        <v/>
      </c>
      <c r="D29" s="149">
        <f>IF(Questions!$O$33="","",Questions!$O$33)</f>
        <v/>
      </c>
      <c r="E29" s="149">
        <f>IF(Questions!$P$33="","",Questions!$P$33)</f>
        <v/>
      </c>
      <c r="F29" s="208" t="n"/>
      <c r="G29" s="208" t="n"/>
      <c r="H29" s="261" t="n"/>
      <c r="I29" s="261" t="n"/>
      <c r="J29" s="261" t="n"/>
      <c r="K29" s="261" t="n"/>
      <c r="L29" s="150" t="n"/>
      <c r="M29" s="261" t="n"/>
    </row>
    <row r="30" ht="45" customHeight="1" s="215">
      <c r="A30" s="151">
        <f>Questions!$A$34</f>
        <v/>
      </c>
      <c r="B30" s="149">
        <f>IF(Questions!$O$34="","",Questions!$O$34)</f>
        <v/>
      </c>
      <c r="C30" s="149">
        <f>IF(Questions!$P$34="","",Questions!$P$34)</f>
        <v/>
      </c>
      <c r="D30" s="149">
        <f>IF(Questions!$O$34="","",Questions!$O$34)</f>
        <v/>
      </c>
      <c r="E30" s="149">
        <f>IF(Questions!$P$34="","",Questions!$P$34)</f>
        <v/>
      </c>
      <c r="F30" s="208" t="n"/>
      <c r="G30" s="208" t="n"/>
      <c r="H30" s="261" t="n"/>
      <c r="I30" s="261" t="n"/>
      <c r="J30" s="261" t="n"/>
      <c r="K30" s="261" t="n"/>
      <c r="L30" s="150" t="n"/>
      <c r="M30" s="261" t="n"/>
    </row>
    <row r="31" ht="45" customHeight="1" s="215">
      <c r="A31" s="151">
        <f>Questions!$A$35</f>
        <v/>
      </c>
      <c r="B31" s="149">
        <f>IF(Questions!$O$35="","",Questions!$O$35)</f>
        <v/>
      </c>
      <c r="C31" s="149">
        <f>IF(Questions!$P$35="","",Questions!$P$35)</f>
        <v/>
      </c>
      <c r="D31" s="149">
        <f>IF(Questions!$O$35="","",Questions!$O$35)</f>
        <v/>
      </c>
      <c r="E31" s="149">
        <f>IF(Questions!$P$35="","",Questions!$P$35)</f>
        <v/>
      </c>
      <c r="F31" s="208" t="n"/>
      <c r="G31" s="208" t="n"/>
      <c r="H31" s="261" t="n"/>
      <c r="I31" s="261" t="n"/>
      <c r="J31" s="261" t="n"/>
      <c r="K31" s="261" t="n"/>
      <c r="L31" s="150" t="n"/>
      <c r="M31" s="261" t="n"/>
    </row>
    <row r="32" ht="40" customHeight="1" s="215">
      <c r="A32" s="221" t="inlineStr">
        <is>
          <t>AI Readiness</t>
        </is>
      </c>
      <c r="B32" s="207">
        <f>IFERROR(SUMIF(Engine!$V$107:$V$133,$A32,Engine!$M$107:$M$133)/SUMIF(Engine!$V$107:$V$133,$A32,Engine!$N$107:$N$133),"")</f>
        <v/>
      </c>
      <c r="C32" s="207">
        <f>IFERROR(SUMIF(Engine!$V$107:$V$133,$A32,Engine!$Q$107:$Q$133)/SUMIF(Engine!$V$107:$V$133,$A32,Engine!$R$107:$R$133),"")</f>
        <v/>
      </c>
      <c r="D32" s="207">
        <f>IFERROR(SUMIF(Engine!$V$107:$V$133,$A32,Engine!$O$107:$O$133)/SUMIF(Engine!$V$107:$V$133,$A32,Engine!$P$107:$P$133),"")</f>
        <v/>
      </c>
      <c r="E32" s="207">
        <f>IFERROR(SUMIF(Engine!$V$107:$V$133,$A32,Engine!$S$107:$S$133)/SUMIF(Engine!$V$107:$V$133,$A32,Engine!$T$107:$T$133),"")</f>
        <v/>
      </c>
      <c r="F32" s="208" t="inlineStr">
        <is>
          <t>No AI, or scattered personal use; nothing documented, nothing measured</t>
        </is>
      </c>
      <c r="G32" s="208" t="inlineStr">
        <is>
          <t>Core workflows run on AI agents working independently; the gain to the bottom line is tracked and proven</t>
        </is>
      </c>
      <c r="H32" s="261" t="n"/>
      <c r="I32" s="261" t="n"/>
      <c r="J32" s="261" t="n"/>
      <c r="K32" s="261" t="n"/>
      <c r="L32" s="150" t="n"/>
      <c r="M32" s="261" t="n"/>
    </row>
    <row r="33" ht="45" customHeight="1" s="215">
      <c r="A33" s="151">
        <f>Questions!$A$38</f>
        <v/>
      </c>
      <c r="B33" s="149">
        <f>IF(Questions!$O$38="","",Questions!$O$38)</f>
        <v/>
      </c>
      <c r="C33" s="149">
        <f>IF(Questions!$P$38="","",Questions!$P$38)</f>
        <v/>
      </c>
      <c r="D33" s="149">
        <f>IF(Questions!$O$38="","",Questions!$O$38)</f>
        <v/>
      </c>
      <c r="E33" s="149">
        <f>IF(Questions!$P$38="","",Questions!$P$38)</f>
        <v/>
      </c>
      <c r="F33" s="208" t="n"/>
      <c r="G33" s="208" t="n"/>
      <c r="H33" s="261" t="n"/>
      <c r="I33" s="261" t="n"/>
      <c r="J33" s="261" t="n"/>
      <c r="K33" s="261" t="n"/>
      <c r="L33" s="150" t="n"/>
      <c r="M33" s="261" t="n"/>
    </row>
    <row r="34" ht="45" customHeight="1" s="215">
      <c r="A34" s="151">
        <f>Questions!$A$39</f>
        <v/>
      </c>
      <c r="B34" s="149">
        <f>IF(Questions!$O$39="","",Questions!$O$39)</f>
        <v/>
      </c>
      <c r="C34" s="149">
        <f>IF(Questions!$P$39="","",Questions!$P$39)</f>
        <v/>
      </c>
      <c r="D34" s="149">
        <f>IF(Questions!$O$39="","",Questions!$O$39)</f>
        <v/>
      </c>
      <c r="E34" s="149">
        <f>IF(Questions!$P$39="","",Questions!$P$39)</f>
        <v/>
      </c>
      <c r="F34" s="208" t="n"/>
      <c r="G34" s="208" t="n"/>
      <c r="H34" s="261" t="n"/>
      <c r="I34" s="261" t="n"/>
      <c r="J34" s="261" t="n"/>
      <c r="K34" s="261" t="n"/>
      <c r="L34" s="150" t="n"/>
      <c r="M34" s="261" t="n"/>
    </row>
    <row r="35" ht="45" customHeight="1" s="215">
      <c r="A35" s="151">
        <f>Questions!$A$40</f>
        <v/>
      </c>
      <c r="B35" s="149">
        <f>IF(Questions!$O$40="","",Questions!$O$40)</f>
        <v/>
      </c>
      <c r="C35" s="149">
        <f>IF(Questions!$P$40="","",Questions!$P$40)</f>
        <v/>
      </c>
      <c r="D35" s="149">
        <f>IF(Questions!$O$40="","",Questions!$O$40)</f>
        <v/>
      </c>
      <c r="E35" s="149">
        <f>IF(Questions!$P$40="","",Questions!$P$40)</f>
        <v/>
      </c>
      <c r="F35" s="208" t="n"/>
      <c r="G35" s="208" t="n"/>
      <c r="H35" s="261" t="n"/>
      <c r="I35" s="261" t="n"/>
      <c r="J35" s="261" t="n"/>
      <c r="K35" s="261" t="n"/>
      <c r="L35" s="150" t="n"/>
      <c r="M35" s="261" t="n"/>
    </row>
    <row r="36" ht="40" customHeight="1" s="215">
      <c r="A36" s="221" t="inlineStr">
        <is>
          <t>TOTAL  -  weighted score out of 5</t>
        </is>
      </c>
      <c r="B36" s="207">
        <f>Engine!$B$136</f>
        <v/>
      </c>
      <c r="C36" s="207">
        <f>Engine!$C$136</f>
        <v/>
      </c>
      <c r="D36" s="207">
        <f>Engine!$B$137</f>
        <v/>
      </c>
      <c r="E36" s="207">
        <f>Engine!$C$137</f>
        <v/>
      </c>
      <c r="F36" s="208">
        <f>"The multiple score sets the percentile. 2.50 reads the median, 5.00 reads the 75th - the highest the answers can reach. Today "&amp;TEXT(Engine!$B$137,"0.00")&amp;" reads the "&amp;TEXT(Engine!$B$24,"0.0")&amp;"th, after the work "&amp;TEXT(Engine!$C$137,"0.00")&amp;" reads the "&amp;TEXT(Engine!$C$24,"0.0")&amp;"th."</f>
        <v/>
      </c>
      <c r="G36" s="209" t="n"/>
      <c r="H36" s="261" t="n"/>
      <c r="I36" s="261" t="n"/>
      <c r="J36" s="261" t="n"/>
      <c r="K36" s="261" t="n"/>
      <c r="L36" s="150" t="n"/>
      <c r="M36" s="261" t="n"/>
    </row>
    <row r="37" ht="15" customHeight="1" s="215">
      <c r="A37" s="261" t="n"/>
      <c r="B37" s="261" t="n"/>
      <c r="C37" s="261" t="n"/>
      <c r="D37" s="261" t="n"/>
      <c r="E37" s="261" t="n"/>
      <c r="F37" s="261" t="n"/>
      <c r="G37" s="261" t="n"/>
      <c r="H37" s="261" t="n"/>
      <c r="I37" s="261" t="n"/>
      <c r="J37" s="261" t="n"/>
      <c r="K37" s="261" t="n"/>
      <c r="L37" s="261" t="n"/>
      <c r="M37" s="261" t="n"/>
    </row>
    <row r="38" ht="33" customHeight="1" s="215">
      <c r="A38" s="140" t="n"/>
      <c r="B38" s="210" t="inlineStr">
        <is>
          <t>Current Sellability</t>
        </is>
      </c>
      <c r="C38" s="210" t="inlineStr">
        <is>
          <t xml:space="preserve">Future Sellability </t>
        </is>
      </c>
      <c r="D38" s="140" t="n"/>
      <c r="E38" s="140" t="n"/>
      <c r="F38" s="140" t="n"/>
      <c r="G38" s="140" t="n"/>
      <c r="H38" s="140" t="n"/>
      <c r="I38" s="261" t="n"/>
      <c r="J38" s="261" t="n"/>
      <c r="K38" s="261" t="n"/>
      <c r="L38" s="261" t="n"/>
      <c r="M38" s="261" t="n"/>
    </row>
    <row r="39" ht="23" customHeight="1" s="215">
      <c r="A39" s="219" t="inlineStr">
        <is>
          <t>SCORES (1-5)</t>
        </is>
      </c>
      <c r="B39" s="152">
        <f>Engine!$B$136</f>
        <v/>
      </c>
      <c r="C39" s="152">
        <f>Engine!$C$136</f>
        <v/>
      </c>
      <c r="D39" s="210">
        <f>IF(COUNT(Questions!$P$3:$P$45)=0,"Future not assessed - no future answers entered.",IF(COUNT(Questions!$P$3:$P$45)&lt;COUNT(Questions!$C$3:$C$45),COUNT(Questions!$P$3:$P$45)&amp;" of "&amp;COUNT(Questions!$C$3:$C$45)&amp;" future answers entered. The Future column is based on these only.","All "&amp;COUNT(Questions!$C$3:$C$45)&amp;" future answers entered."))</f>
        <v/>
      </c>
      <c r="E39" s="211" t="n"/>
      <c r="F39" s="209" t="n"/>
      <c r="G39" s="261" t="n"/>
      <c r="H39" s="261" t="n"/>
      <c r="I39" s="261" t="n"/>
      <c r="J39" s="261" t="n"/>
      <c r="K39" s="261" t="n"/>
      <c r="L39" s="261" t="n"/>
      <c r="M39" s="261" t="n"/>
    </row>
    <row r="40" ht="38" customHeight="1" s="215">
      <c r="A40" s="221" t="inlineStr">
        <is>
          <t>Future answers given</t>
        </is>
      </c>
      <c r="B40" s="115">
        <f>"-"</f>
        <v/>
      </c>
      <c r="C40" s="115">
        <f>COUNT(Questions!$P$3:$P$45)</f>
        <v/>
      </c>
      <c r="D40" s="213">
        <f>"Of "&amp;COUNT(Questions!$C$3:$C$45)&amp;" questions, one with no future answer is held at today's answer, so the Future score always covers every question."</f>
        <v/>
      </c>
      <c r="E40" s="211" t="n"/>
      <c r="F40" s="209" t="n"/>
      <c r="G40" s="261" t="n"/>
      <c r="H40" s="261" t="n"/>
      <c r="I40" s="261" t="n"/>
      <c r="J40" s="261" t="n"/>
      <c r="K40" s="261" t="n"/>
      <c r="L40" s="261" t="n"/>
      <c r="M40" s="261" t="n"/>
    </row>
    <row r="41" ht="38" customHeight="1" s="215">
      <c r="A41" s="221" t="inlineStr">
        <is>
          <t>Fatal flaws tripped</t>
        </is>
      </c>
      <c r="B41" s="115">
        <f>SUM(Questions!$M$3:$M$45)</f>
        <v/>
      </c>
      <c r="C41" s="115">
        <f>SUM(Questions!$N$3:$N$45)</f>
        <v/>
      </c>
      <c r="D41" s="213">
        <f>IF($B$41=0,"None tripped now.","Now: "&amp;$B$41&amp;" tripped, taking "&amp;TEXT(IFERROR(Engine!$B$27/Engine!$B$26,0),"0%")&amp;" off the multiple. Each one takes its share of what is left.")&amp;IF(COUNT(Questions!$P$3:$P$45)&lt;COUNT(Questions!$C$3:$C$45)," Future 0 means not assessed, not fixed - a deal-killer can only trip where a future answer exists.","")</f>
        <v/>
      </c>
      <c r="E41" s="211" t="n"/>
      <c r="F41" s="209" t="n"/>
      <c r="G41" s="261" t="n"/>
      <c r="H41" s="261" t="n"/>
      <c r="I41" s="261" t="n"/>
      <c r="J41" s="261" t="n"/>
      <c r="K41" s="261" t="n"/>
      <c r="L41" s="261" t="n"/>
      <c r="M41" s="261" t="n"/>
    </row>
    <row r="42" ht="38" customHeight="1" s="215">
      <c r="A42" s="221" t="inlineStr">
        <is>
          <t>Sellability tier</t>
        </is>
      </c>
      <c r="B42" s="218">
        <f>Engine!$B$31</f>
        <v/>
      </c>
      <c r="C42" s="218">
        <f>Engine!$C$31</f>
        <v/>
      </c>
      <c r="D42" s="213" t="inlineStr">
        <is>
          <t>The eleven gate questions and what each one costs are listed on the Engine tab.</t>
        </is>
      </c>
      <c r="E42" s="211" t="n"/>
      <c r="F42" s="209" t="n"/>
      <c r="G42" s="261" t="n"/>
      <c r="H42" s="261" t="n"/>
      <c r="I42" s="261" t="n"/>
      <c r="J42" s="261" t="n"/>
      <c r="K42" s="261" t="n"/>
      <c r="L42" s="261" t="n"/>
      <c r="M42" s="261" t="n"/>
    </row>
    <row r="43" ht="23" customHeight="1" s="215">
      <c r="A43" s="221" t="inlineStr">
        <is>
          <t>Weights must total 100%</t>
        </is>
      </c>
      <c r="B43" s="217">
        <f>IF(AND(ABS(Engine!$F$134-1)&lt;0.0001,ABS(Engine!$G$134-1)&lt;0.0001),"Ok","SELL "&amp;TEXT(Engine!$F$134,"0.0%")&amp;" / VALUE "&amp;TEXT(Engine!$G$134,"0.0%")&amp;" - fix on the Engine tab")</f>
        <v/>
      </c>
      <c r="C43" s="209" t="n"/>
      <c r="D43" s="261" t="n"/>
      <c r="E43" s="261" t="n"/>
      <c r="F43" s="261" t="n"/>
      <c r="G43" s="261" t="n"/>
      <c r="H43" s="261" t="n"/>
      <c r="I43" s="261" t="n"/>
      <c r="J43" s="261" t="n"/>
      <c r="K43" s="261" t="n"/>
      <c r="L43" s="261" t="n"/>
      <c r="M43" s="261" t="n"/>
    </row>
    <row r="44" ht="23" customHeight="1" s="215">
      <c r="A44" s="221" t="inlineStr">
        <is>
          <t>Answers not matching their option list</t>
        </is>
      </c>
      <c r="B44" s="217">
        <f>IF(SUM(Questions!$W$3:$W$45)=0,"None",SUM(Questions!$W$3:$W$45)&amp;" answer(s) do not match any option - those questions are UNSCORED. Re-pick them on Questions.")</f>
        <v/>
      </c>
      <c r="C44" s="209" t="n"/>
      <c r="D44" s="261" t="n"/>
      <c r="E44" s="261" t="n"/>
      <c r="F44" s="261" t="n"/>
      <c r="G44" s="261" t="n"/>
      <c r="H44" s="261" t="n"/>
      <c r="I44" s="261" t="n"/>
      <c r="J44" s="261" t="n"/>
      <c r="K44" s="261" t="n"/>
      <c r="L44" s="261" t="n"/>
      <c r="M44" s="261" t="n"/>
    </row>
    <row r="45" ht="50" customHeight="1" s="215">
      <c r="A45" s="221" t="inlineStr">
        <is>
          <t>Multiple source</t>
        </is>
      </c>
      <c r="B45" s="218">
        <f>Engine!$B$15</f>
        <v/>
      </c>
      <c r="C45" s="209" t="n"/>
      <c r="D45" s="261" t="n"/>
      <c r="E45" s="261" t="n"/>
      <c r="F45" s="261" t="n"/>
      <c r="G45" s="261" t="n"/>
      <c r="H45" s="261" t="n"/>
      <c r="I45" s="261" t="n"/>
      <c r="J45" s="261" t="n"/>
      <c r="K45" s="261" t="n"/>
      <c r="L45" s="261" t="n"/>
      <c r="M45" s="261" t="n"/>
    </row>
    <row r="46" ht="34" customHeight="1" s="215">
      <c r="A46" s="261" t="n"/>
      <c r="B46" s="261" t="n"/>
      <c r="C46" s="261" t="n"/>
      <c r="D46" s="261" t="n"/>
      <c r="E46" s="261" t="n"/>
      <c r="F46" s="261" t="n"/>
      <c r="G46" s="261" t="n"/>
      <c r="H46" s="261" t="n"/>
      <c r="I46" s="261" t="n"/>
      <c r="J46" s="261" t="n"/>
      <c r="K46" s="261" t="n"/>
      <c r="L46" s="261" t="n"/>
      <c r="M46" s="261" t="n"/>
    </row>
    <row r="47" ht="20" customHeight="1" s="215">
      <c r="A47" s="261" t="n"/>
      <c r="B47" s="210" t="inlineStr">
        <is>
          <t>Current</t>
        </is>
      </c>
      <c r="C47" s="210" t="inlineStr">
        <is>
          <t>Future</t>
        </is>
      </c>
      <c r="D47" s="210" t="n"/>
      <c r="E47" s="210" t="n"/>
      <c r="F47" s="261" t="n"/>
      <c r="G47" s="261" t="n"/>
      <c r="H47" s="261" t="n"/>
      <c r="I47" s="261" t="n"/>
      <c r="J47" s="261" t="n"/>
      <c r="K47" s="261" t="n"/>
      <c r="L47" s="261" t="n"/>
      <c r="M47" s="261" t="n"/>
    </row>
    <row r="48" ht="28" customHeight="1" s="215">
      <c r="A48" s="219" t="inlineStr">
        <is>
          <t>FATAL FLAW GATES</t>
        </is>
      </c>
      <c r="B48" s="153" t="n"/>
      <c r="C48" s="153" t="n"/>
      <c r="D48" s="216" t="inlineStr">
        <is>
          <t>Driver category</t>
        </is>
      </c>
      <c r="E48" s="211" t="n"/>
      <c r="F48" s="209" t="n"/>
      <c r="G48" s="261" t="n"/>
      <c r="H48" s="261" t="n"/>
      <c r="I48" s="261" t="n"/>
      <c r="J48" s="261" t="n"/>
      <c r="K48" s="261" t="n"/>
      <c r="L48" s="261" t="n"/>
      <c r="M48" s="261" t="n"/>
    </row>
    <row r="49" ht="45" customHeight="1" s="215">
      <c r="A49" s="221">
        <f>Questions!$A$4</f>
        <v/>
      </c>
      <c r="B49" s="212">
        <f>IF(Questions!$M$4=1,"Yes","No")</f>
        <v/>
      </c>
      <c r="C49" s="212">
        <f>IF(Questions!$N$4=1,"Yes","No")</f>
        <v/>
      </c>
      <c r="D49" s="212">
        <f>Questions!$Q$4</f>
        <v/>
      </c>
      <c r="E49" s="211" t="n"/>
      <c r="F49" s="209" t="n"/>
      <c r="G49" s="261" t="n"/>
      <c r="H49" s="261" t="n"/>
      <c r="I49" s="261" t="n"/>
      <c r="J49" s="261" t="n"/>
      <c r="K49" s="261" t="n"/>
      <c r="L49" s="261" t="n"/>
      <c r="M49" s="261" t="n"/>
    </row>
    <row r="50" ht="30" customHeight="1" s="215">
      <c r="A50" s="155">
        <f>Questions!$A$5</f>
        <v/>
      </c>
      <c r="B50" s="156">
        <f>IF(Questions!$M$5=1,"Yes","No")</f>
        <v/>
      </c>
      <c r="C50" s="156">
        <f>IF(Questions!$N$5=1,"Yes","No")</f>
        <v/>
      </c>
      <c r="D50" s="212">
        <f>Questions!$Q$5</f>
        <v/>
      </c>
      <c r="E50" s="211" t="n"/>
      <c r="F50" s="209" t="n"/>
      <c r="G50" s="261" t="n"/>
      <c r="H50" s="261" t="n"/>
      <c r="I50" s="261" t="n"/>
      <c r="J50" s="261" t="n"/>
      <c r="K50" s="261" t="n"/>
      <c r="L50" s="261" t="n"/>
      <c r="M50" s="261" t="n"/>
    </row>
    <row r="51" ht="45" customHeight="1" s="215">
      <c r="A51" s="221">
        <f>Questions!$A$6</f>
        <v/>
      </c>
      <c r="B51" s="212">
        <f>IF(Questions!$M$6=1,"Yes","No")</f>
        <v/>
      </c>
      <c r="C51" s="212">
        <f>IF(Questions!$N$6=1,"Yes","No")</f>
        <v/>
      </c>
      <c r="D51" s="212">
        <f>Questions!$Q$6</f>
        <v/>
      </c>
      <c r="E51" s="211" t="n"/>
      <c r="F51" s="209" t="n"/>
      <c r="G51" s="261" t="n"/>
      <c r="H51" s="261" t="n"/>
      <c r="I51" s="261" t="n"/>
      <c r="J51" s="261" t="n"/>
      <c r="K51" s="261" t="n"/>
      <c r="L51" s="261" t="n"/>
      <c r="M51" s="261" t="n"/>
    </row>
    <row r="52" ht="30" customHeight="1" s="215">
      <c r="A52" s="155">
        <f>Questions!$A$7</f>
        <v/>
      </c>
      <c r="B52" s="156">
        <f>IF(Questions!$M$7=1,"Yes","No")</f>
        <v/>
      </c>
      <c r="C52" s="156">
        <f>IF(Questions!$N$7=1,"Yes","No")</f>
        <v/>
      </c>
      <c r="D52" s="212">
        <f>Questions!$Q$7</f>
        <v/>
      </c>
      <c r="E52" s="211" t="n"/>
      <c r="F52" s="209" t="n"/>
      <c r="G52" s="261" t="n"/>
      <c r="H52" s="261" t="n"/>
      <c r="I52" s="261" t="n"/>
      <c r="J52" s="261" t="n"/>
      <c r="K52" s="261" t="n"/>
      <c r="L52" s="261" t="n"/>
      <c r="M52" s="261" t="n"/>
    </row>
    <row r="53" ht="30" customHeight="1" s="215">
      <c r="A53" s="221">
        <f>Questions!$A$10</f>
        <v/>
      </c>
      <c r="B53" s="212">
        <f>IF(Questions!$M$10=1,"Yes","No")</f>
        <v/>
      </c>
      <c r="C53" s="212">
        <f>IF(Questions!$N$10=1,"Yes","No")</f>
        <v/>
      </c>
      <c r="D53" s="212">
        <f>Questions!$Q$10</f>
        <v/>
      </c>
      <c r="E53" s="211" t="n"/>
      <c r="F53" s="209" t="n"/>
      <c r="G53" s="261" t="n"/>
      <c r="H53" s="261" t="n"/>
      <c r="I53" s="261" t="n"/>
      <c r="J53" s="261" t="n"/>
      <c r="K53" s="261" t="n"/>
      <c r="L53" s="261" t="n"/>
      <c r="M53" s="261" t="n"/>
    </row>
    <row r="54" ht="45" customHeight="1" s="215">
      <c r="A54" s="155">
        <f>Questions!$A$11</f>
        <v/>
      </c>
      <c r="B54" s="156">
        <f>IF(Questions!$M$11=1,"Yes","No")</f>
        <v/>
      </c>
      <c r="C54" s="156">
        <f>IF(Questions!$N$11=1,"Yes","No")</f>
        <v/>
      </c>
      <c r="D54" s="212">
        <f>Questions!$Q$11</f>
        <v/>
      </c>
      <c r="E54" s="211" t="n"/>
      <c r="F54" s="209" t="n"/>
      <c r="G54" s="261" t="n"/>
      <c r="H54" s="261" t="n"/>
      <c r="I54" s="261" t="n"/>
      <c r="J54" s="261" t="n"/>
      <c r="K54" s="261" t="n"/>
      <c r="L54" s="261" t="n"/>
      <c r="M54" s="261" t="n"/>
    </row>
    <row r="55" ht="45" customHeight="1" s="215">
      <c r="A55" s="221">
        <f>Questions!$A$18</f>
        <v/>
      </c>
      <c r="B55" s="212">
        <f>IF(Questions!$M$18=1,"Yes","No")</f>
        <v/>
      </c>
      <c r="C55" s="212">
        <f>IF(Questions!$N$18=1,"Yes","No")</f>
        <v/>
      </c>
      <c r="D55" s="212">
        <f>Questions!$Q$18</f>
        <v/>
      </c>
      <c r="E55" s="211" t="n"/>
      <c r="F55" s="209" t="n"/>
      <c r="G55" s="261" t="n"/>
      <c r="H55" s="261" t="n"/>
      <c r="I55" s="261" t="n"/>
      <c r="J55" s="261" t="n"/>
      <c r="K55" s="261" t="n"/>
      <c r="L55" s="261" t="n"/>
      <c r="M55" s="261" t="n"/>
    </row>
    <row r="56" ht="45" customHeight="1" s="215">
      <c r="A56" s="155">
        <f>Questions!$A$21</f>
        <v/>
      </c>
      <c r="B56" s="156">
        <f>IF(Questions!$M$21=1,"Yes","No")</f>
        <v/>
      </c>
      <c r="C56" s="156">
        <f>IF(Questions!$N$21=1,"Yes","No")</f>
        <v/>
      </c>
      <c r="D56" s="212">
        <f>Questions!$Q$21</f>
        <v/>
      </c>
      <c r="E56" s="211" t="n"/>
      <c r="F56" s="209" t="n"/>
      <c r="G56" s="261" t="n"/>
      <c r="H56" s="261" t="n"/>
      <c r="I56" s="261" t="n"/>
      <c r="J56" s="261" t="n"/>
      <c r="K56" s="261" t="n"/>
      <c r="L56" s="261" t="n"/>
      <c r="M56" s="261" t="n"/>
    </row>
    <row r="57" ht="30" customHeight="1" s="215">
      <c r="A57" s="221">
        <f>Questions!$A$27</f>
        <v/>
      </c>
      <c r="B57" s="212">
        <f>IF(Questions!$M$27=1,"Yes","No")</f>
        <v/>
      </c>
      <c r="C57" s="212">
        <f>IF(Questions!$N$27=1,"Yes","No")</f>
        <v/>
      </c>
      <c r="D57" s="212">
        <f>Questions!$Q$27</f>
        <v/>
      </c>
      <c r="E57" s="211" t="n"/>
      <c r="F57" s="209" t="n"/>
      <c r="G57" s="261" t="n"/>
      <c r="H57" s="261" t="n"/>
      <c r="I57" s="261" t="n"/>
      <c r="J57" s="261" t="n"/>
      <c r="K57" s="261" t="n"/>
      <c r="L57" s="261" t="n"/>
      <c r="M57" s="261" t="n"/>
    </row>
    <row r="58" ht="45" customHeight="1" s="215">
      <c r="A58" s="155">
        <f>Questions!$A$33</f>
        <v/>
      </c>
      <c r="B58" s="156">
        <f>IF(Questions!$M$33=1,"Yes","No")</f>
        <v/>
      </c>
      <c r="C58" s="156">
        <f>IF(Questions!$N$33=1,"Yes","No")</f>
        <v/>
      </c>
      <c r="D58" s="212">
        <f>Questions!$Q$33</f>
        <v/>
      </c>
      <c r="E58" s="211" t="n"/>
      <c r="F58" s="209" t="n"/>
      <c r="G58" s="261" t="n"/>
      <c r="H58" s="261" t="n"/>
      <c r="I58" s="261" t="n"/>
      <c r="J58" s="261" t="n"/>
      <c r="K58" s="261" t="n"/>
      <c r="L58" s="261" t="n"/>
      <c r="M58" s="261" t="n"/>
    </row>
    <row r="59" ht="75" customHeight="1" s="215">
      <c r="A59" s="221">
        <f>Questions!$A$34</f>
        <v/>
      </c>
      <c r="B59" s="212">
        <f>IF(Questions!$M$34=1,"Yes","No")</f>
        <v/>
      </c>
      <c r="C59" s="212">
        <f>IF(Questions!$N$34=1,"Yes","No")</f>
        <v/>
      </c>
      <c r="D59" s="212">
        <f>Questions!$Q$34</f>
        <v/>
      </c>
      <c r="E59" s="211" t="n"/>
      <c r="F59" s="209" t="n"/>
      <c r="G59" s="261" t="n"/>
      <c r="H59" s="261" t="n"/>
      <c r="I59" s="261" t="n"/>
      <c r="J59" s="261" t="n"/>
      <c r="K59" s="261" t="n"/>
      <c r="L59" s="261" t="n"/>
      <c r="M59" s="261" t="n"/>
    </row>
    <row r="60" ht="30" customHeight="1" s="215">
      <c r="A60" s="214" t="n"/>
      <c r="I60" s="261" t="n"/>
      <c r="J60" s="261" t="n"/>
      <c r="K60" s="261" t="n"/>
      <c r="L60" s="261" t="n"/>
      <c r="M60" s="261" t="n"/>
    </row>
  </sheetData>
  <mergeCells count="21">
    <mergeCell ref="D41:F41"/>
    <mergeCell ref="A60:H60"/>
    <mergeCell ref="D48:F48"/>
    <mergeCell ref="D53:F53"/>
    <mergeCell ref="B43:C43"/>
    <mergeCell ref="D56:F56"/>
    <mergeCell ref="D58:F58"/>
    <mergeCell ref="F36:G36"/>
    <mergeCell ref="D39:F39"/>
    <mergeCell ref="D55:F55"/>
    <mergeCell ref="D51:F51"/>
    <mergeCell ref="D42:F42"/>
    <mergeCell ref="B44:C44"/>
    <mergeCell ref="D54:F54"/>
    <mergeCell ref="D50:F50"/>
    <mergeCell ref="D49:F49"/>
    <mergeCell ref="D59:F59"/>
    <mergeCell ref="B45:C45"/>
    <mergeCell ref="D40:F40"/>
    <mergeCell ref="D52:F52"/>
    <mergeCell ref="D57:F57"/>
  </mergeCells>
  <conditionalFormatting sqref="A49:H59">
    <cfRule type="expression" priority="1" dxfId="3">
      <formula>AND($B49="No",$C49="No")</formula>
    </cfRule>
  </conditionalFormatting>
  <pageMargins left="0.75" right="0.75" top="1" bottom="1" header="0.5" footer="0.5"/>
  <pageSetup orientation="landscape" fitToHeight="0"/>
</worksheet>
</file>

<file path=xl/worksheets/sheet6.xml><?xml version="1.0" encoding="utf-8"?>
<worksheet xmlns="http://schemas.openxmlformats.org/spreadsheetml/2006/main">
  <sheetPr codeName="Sheet5">
    <outlinePr summaryBelow="1" summaryRight="1"/>
    <pageSetUpPr/>
  </sheetPr>
  <dimension ref="A1:K17"/>
  <sheetViews>
    <sheetView showGridLines="0" zoomScale="139" workbookViewId="0">
      <selection activeCell="B11" sqref="B11"/>
    </sheetView>
  </sheetViews>
  <sheetFormatPr baseColWidth="10" defaultColWidth="9" defaultRowHeight="14"/>
  <cols>
    <col width="34" customWidth="1" style="215" min="1" max="1"/>
    <col width="13" customWidth="1" style="215" min="2" max="2"/>
    <col width="12" customWidth="1" style="215" min="3" max="8"/>
    <col width="13" customWidth="1" style="215" min="9" max="10"/>
    <col width="10" customWidth="1" style="215" min="11" max="11"/>
  </cols>
  <sheetData>
    <row r="1" ht="34" customHeight="1" s="215">
      <c r="A1" s="53" t="inlineStr">
        <is>
          <t>Industry Data</t>
        </is>
      </c>
      <c r="B1" s="53" t="n"/>
      <c r="C1" s="53" t="n"/>
      <c r="D1" s="53" t="n"/>
      <c r="E1" s="53" t="n"/>
      <c r="F1" s="53" t="n"/>
      <c r="G1" s="53" t="n"/>
      <c r="H1" s="53" t="n"/>
      <c r="I1" s="53" t="n"/>
      <c r="J1" s="53" t="n"/>
    </row>
    <row r="2" ht="26" customHeight="1" s="215">
      <c r="A2" s="54" t="inlineStr">
        <is>
          <t>Source</t>
        </is>
      </c>
      <c r="B2" s="54" t="n"/>
      <c r="C2" s="54" t="n"/>
      <c r="D2" s="54" t="n"/>
      <c r="E2" s="54" t="n"/>
      <c r="F2" s="54" t="n"/>
      <c r="G2" s="54" t="n"/>
      <c r="H2" s="54" t="n"/>
      <c r="I2" s="54" t="n"/>
      <c r="J2" s="54" t="n"/>
    </row>
    <row r="3" ht="24" customHeight="1" s="215">
      <c r="A3" s="55" t="inlineStr">
        <is>
          <t>Industry</t>
        </is>
      </c>
      <c r="B3" s="263" t="inlineStr">
        <is>
          <t>Marketing</t>
        </is>
      </c>
      <c r="C3" s="231" t="n"/>
      <c r="D3" s="265" t="inlineStr">
        <is>
          <t>Overarching NAICS for marketing</t>
        </is>
      </c>
      <c r="E3" s="230" t="n"/>
      <c r="F3" s="230" t="n"/>
      <c r="G3" s="230" t="n"/>
      <c r="H3" s="231" t="n"/>
      <c r="I3" s="56" t="n"/>
      <c r="J3" s="56" t="n"/>
    </row>
    <row r="4" ht="24" customHeight="1" s="215">
      <c r="A4" s="55" t="inlineStr">
        <is>
          <t>NAICS code</t>
        </is>
      </c>
      <c r="B4" s="263" t="n">
        <v>5418</v>
      </c>
      <c r="C4" s="231" t="n"/>
      <c r="D4" s="56" t="n"/>
      <c r="E4" s="56" t="n"/>
      <c r="F4" s="56" t="n"/>
      <c r="G4" s="56" t="n"/>
      <c r="H4" s="56" t="n"/>
      <c r="I4" s="56" t="n"/>
      <c r="J4" s="56" t="n"/>
    </row>
    <row r="5" ht="24" customHeight="1" s="215">
      <c r="A5" s="55" t="inlineStr">
        <is>
          <t>Source / vintage</t>
        </is>
      </c>
      <c r="B5" s="263" t="inlineStr">
        <is>
          <t>BVR, 2020 - Sept 2026</t>
        </is>
      </c>
      <c r="C5" s="231" t="n"/>
      <c r="D5" s="56" t="n"/>
      <c r="E5" s="56" t="n"/>
      <c r="F5" s="56" t="n"/>
      <c r="G5" s="56" t="n"/>
      <c r="H5" s="56" t="n"/>
      <c r="I5" s="56" t="n"/>
      <c r="J5" s="56" t="n"/>
    </row>
    <row r="6" ht="51" customHeight="1" s="215">
      <c r="A6" s="54" t="inlineStr">
        <is>
          <t>Multiple data  |  what businesses in this industry actually sold for</t>
        </is>
      </c>
      <c r="B6" s="54" t="n"/>
      <c r="C6" s="54" t="n"/>
      <c r="D6" s="54" t="n"/>
      <c r="E6" s="54" t="n"/>
      <c r="F6" s="54" t="n"/>
      <c r="G6" s="54" t="n"/>
      <c r="H6" s="54" t="n"/>
      <c r="I6" s="54" t="n"/>
      <c r="J6" s="54" t="n"/>
    </row>
    <row r="7" ht="28" customHeight="1" s="215">
      <c r="A7" s="58" t="inlineStr">
        <is>
          <t>Earnings basis</t>
        </is>
      </c>
      <c r="B7" s="59" t="inlineStr">
        <is>
          <t>Deals (n)</t>
        </is>
      </c>
      <c r="C7" s="59" t="inlineStr">
        <is>
          <t>10th pct</t>
        </is>
      </c>
      <c r="D7" s="59" t="inlineStr">
        <is>
          <t>25th pct</t>
        </is>
      </c>
      <c r="E7" s="59" t="inlineStr">
        <is>
          <t>Median</t>
        </is>
      </c>
      <c r="F7" s="59" t="inlineStr">
        <is>
          <t>75th pct</t>
        </is>
      </c>
      <c r="G7" s="59" t="inlineStr">
        <is>
          <t>90th pct</t>
        </is>
      </c>
      <c r="H7" s="59" t="inlineStr">
        <is>
          <t>Mean</t>
        </is>
      </c>
      <c r="I7" s="59" t="inlineStr">
        <is>
          <t>Lowest sale</t>
        </is>
      </c>
      <c r="J7" s="59" t="inlineStr">
        <is>
          <t>Highest sale</t>
        </is>
      </c>
    </row>
    <row r="8" ht="24" customHeight="1" s="215">
      <c r="A8" s="55" t="inlineStr">
        <is>
          <t>SDE</t>
        </is>
      </c>
      <c r="B8" s="56" t="n">
        <v>201</v>
      </c>
      <c r="C8" s="62" t="n">
        <v>1.4</v>
      </c>
      <c r="D8" s="62" t="n">
        <v>1.8</v>
      </c>
      <c r="E8" s="62" t="n">
        <v>2.5</v>
      </c>
      <c r="F8" s="62" t="n">
        <v>3.1</v>
      </c>
      <c r="G8" s="62" t="n">
        <v>4.1</v>
      </c>
      <c r="H8" s="60" t="n">
        <v>2.7</v>
      </c>
      <c r="I8" s="62" t="n">
        <v>0.1</v>
      </c>
      <c r="J8" s="62" t="n">
        <v>8.9</v>
      </c>
      <c r="K8" s="7" t="n"/>
    </row>
    <row r="9" ht="24" customHeight="1" s="215">
      <c r="A9" s="55" t="inlineStr">
        <is>
          <t>EBITDA</t>
        </is>
      </c>
      <c r="B9" s="61" t="n">
        <v>235</v>
      </c>
      <c r="C9" s="62" t="n">
        <v>2.1</v>
      </c>
      <c r="D9" s="62" t="n">
        <v>3.2</v>
      </c>
      <c r="E9" s="62" t="n">
        <v>5.4</v>
      </c>
      <c r="F9" s="62" t="n">
        <v>11.9</v>
      </c>
      <c r="G9" s="62" t="n">
        <v>27.6</v>
      </c>
      <c r="H9" s="62" t="n">
        <v>16.2</v>
      </c>
      <c r="I9" s="62" t="n">
        <v>0.8</v>
      </c>
      <c r="J9" s="62" t="n">
        <v>800</v>
      </c>
      <c r="K9" s="7" t="n"/>
    </row>
    <row r="10" ht="48" customHeight="1" s="215">
      <c r="A10" s="57" t="inlineStr">
        <is>
          <t>Deal revenue range</t>
        </is>
      </c>
      <c r="B10" s="57" t="n"/>
      <c r="C10" s="266" t="inlineStr">
        <is>
          <t>The revenue band this pull was filtered to. It must match the business being valued - these multiples are used directly, with no size adjustment</t>
        </is>
      </c>
      <c r="D10" s="230" t="n"/>
      <c r="E10" s="231" t="n"/>
      <c r="F10" s="57" t="n"/>
      <c r="G10" s="57" t="n"/>
      <c r="H10" s="57" t="n"/>
      <c r="I10" s="57" t="n"/>
      <c r="J10" s="57" t="n"/>
    </row>
    <row r="11" ht="48" customHeight="1" s="215">
      <c r="A11" s="264" t="inlineStr">
        <is>
          <t>Which multiples to use</t>
        </is>
      </c>
      <c r="B11" s="206" t="inlineStr">
        <is>
          <t>Force Size Curve</t>
        </is>
      </c>
      <c r="C11" s="264" t="n"/>
      <c r="D11" s="231">
        <f>IF($B$11="Force Size Curve","Forced onto the Size Curve backup, adjusted for size.",IF($B$11="Force Industry Data","Forced onto the industry pull as it stands.",IF($B$10="","No revenue band given, so this pull is treated as all-sizes and the Size Curve backup is used, adjusted for size.","A revenue band is given, so the industry pull is used directly.")))</f>
        <v/>
      </c>
      <c r="E11" s="230" t="n"/>
      <c r="F11" s="230" t="n"/>
      <c r="G11" s="230" t="n"/>
      <c r="H11" s="231" t="n"/>
      <c r="I11" s="264" t="n"/>
      <c r="J11" s="264" t="n"/>
      <c r="K11" s="261" t="n"/>
    </row>
    <row r="12" ht="51" customHeight="1" s="215">
      <c r="A12" s="124" t="inlineStr">
        <is>
          <t>Margin data  |  how profitable businesses in this industry are</t>
        </is>
      </c>
      <c r="B12" s="124" t="n"/>
      <c r="C12" s="124" t="n"/>
      <c r="D12" s="124" t="n"/>
      <c r="E12" s="124" t="n"/>
      <c r="F12" s="124" t="n"/>
      <c r="G12" s="124" t="n"/>
      <c r="H12" s="124" t="n"/>
      <c r="I12" s="124" t="n"/>
      <c r="J12" s="124" t="n"/>
      <c r="K12" s="261" t="n"/>
    </row>
    <row r="13" ht="28" customHeight="1" s="215">
      <c r="A13" s="137" t="inlineStr">
        <is>
          <t>Metric</t>
        </is>
      </c>
      <c r="B13" s="107" t="inlineStr">
        <is>
          <t>Deals (n)</t>
        </is>
      </c>
      <c r="C13" s="107" t="inlineStr">
        <is>
          <t>10th pct</t>
        </is>
      </c>
      <c r="D13" s="107" t="inlineStr">
        <is>
          <t>25th pct</t>
        </is>
      </c>
      <c r="E13" s="107" t="inlineStr">
        <is>
          <t>Median</t>
        </is>
      </c>
      <c r="F13" s="107" t="inlineStr">
        <is>
          <t>75th pct</t>
        </is>
      </c>
      <c r="G13" s="107" t="inlineStr">
        <is>
          <t>90th pct</t>
        </is>
      </c>
      <c r="H13" s="107" t="n"/>
      <c r="I13" s="107" t="n"/>
      <c r="J13" s="107" t="n"/>
      <c r="K13" s="261" t="n"/>
    </row>
    <row r="14" ht="24" customHeight="1" s="215">
      <c r="A14" s="121" t="inlineStr">
        <is>
          <t>Operating profit margin</t>
        </is>
      </c>
      <c r="B14" s="138" t="n">
        <v>199</v>
      </c>
      <c r="C14" s="139" t="n">
        <v>0.101</v>
      </c>
      <c r="D14" s="139" t="n">
        <v>0.156</v>
      </c>
      <c r="E14" s="139" t="n">
        <v>0.233</v>
      </c>
      <c r="F14" s="139" t="n">
        <v>0.344</v>
      </c>
      <c r="G14" s="139" t="n">
        <v>0.539</v>
      </c>
      <c r="H14" s="108" t="n"/>
      <c r="I14" s="108" t="n"/>
      <c r="J14" s="108" t="n"/>
      <c r="K14" s="261" t="n"/>
    </row>
    <row r="15" ht="24" customHeight="1" s="215">
      <c r="A15" s="121" t="inlineStr">
        <is>
          <t>EBITDA margin</t>
        </is>
      </c>
      <c r="B15" s="108" t="n"/>
      <c r="C15" s="139" t="n"/>
      <c r="D15" s="139" t="n"/>
      <c r="E15" s="139" t="n"/>
      <c r="F15" s="139" t="n"/>
      <c r="G15" s="139" t="n"/>
      <c r="H15" s="108" t="n"/>
      <c r="I15" s="108" t="n"/>
      <c r="J15" s="108" t="n"/>
      <c r="K15" s="261" t="n"/>
    </row>
    <row r="16" ht="48" customHeight="1" s="215">
      <c r="A16" s="264" t="inlineStr">
        <is>
          <t>These figures are the valuation. Scores 2 to 5 read the 10th percentile, median, 75th and 90th of this table. Pull a fresh set for every client, filtered to their revenue band, and update Deal revenue range above.</t>
        </is>
      </c>
      <c r="B16" s="230" t="n"/>
      <c r="C16" s="231" t="n"/>
      <c r="D16" s="264" t="n"/>
      <c r="E16" s="264" t="n"/>
      <c r="F16" s="264" t="n"/>
      <c r="G16" s="264" t="n"/>
      <c r="H16" s="264" t="n"/>
      <c r="I16" s="264" t="n"/>
      <c r="J16" s="264" t="n"/>
      <c r="K16" s="261" t="n"/>
    </row>
    <row r="17" ht="48" customHeight="1" s="215">
      <c r="A17" s="264" t="inlineStr">
        <is>
          <t>Two margin rows so the comparison matches the earnings figure entered. Operating profit entered is compared against row 13; EBITDA entered is compared against row 14. Pull both for every industry - which one gets used is not known until the owner says which figure they have.</t>
        </is>
      </c>
      <c r="B17" s="230" t="n"/>
      <c r="C17" s="231" t="n"/>
      <c r="D17" s="264" t="n"/>
      <c r="E17" s="264" t="n"/>
      <c r="F17" s="264" t="n"/>
      <c r="G17" s="264" t="n"/>
      <c r="H17" s="264" t="n"/>
      <c r="I17" s="264" t="n"/>
      <c r="J17" s="264" t="n"/>
      <c r="K17" s="261" t="n"/>
    </row>
  </sheetData>
  <mergeCells count="8">
    <mergeCell ref="B3:C3"/>
    <mergeCell ref="B5:C5"/>
    <mergeCell ref="D11:H11"/>
    <mergeCell ref="A17:C17"/>
    <mergeCell ref="B4:C4"/>
    <mergeCell ref="A16:C16"/>
    <mergeCell ref="D3:H3"/>
    <mergeCell ref="C10:E10"/>
  </mergeCells>
  <dataValidations count="1">
    <dataValidation sqref="B11" showDropDown="0" showInputMessage="0" showErrorMessage="0" allowBlank="0" type="list">
      <formula1>"Automatic,Force Industry Data,Force Size Curve"</formula1>
    </dataValidation>
  </dataValidations>
  <pageMargins left="0.75" right="0.75" top="1" bottom="1" header="0.5" footer="0.5"/>
</worksheet>
</file>

<file path=xl/worksheets/sheet7.xml><?xml version="1.0" encoding="utf-8"?>
<worksheet xmlns="http://schemas.openxmlformats.org/spreadsheetml/2006/main">
  <sheetPr codeName="Sheet18">
    <outlinePr summaryBelow="1" summaryRight="1"/>
    <pageSetUpPr/>
  </sheetPr>
  <dimension ref="A1:F15"/>
  <sheetViews>
    <sheetView showGridLines="0" workbookViewId="0">
      <selection activeCell="A6" sqref="A6"/>
    </sheetView>
  </sheetViews>
  <sheetFormatPr baseColWidth="10" defaultColWidth="9" defaultRowHeight="14"/>
  <cols>
    <col width="26" customWidth="1" style="215" min="1" max="1"/>
    <col width="13" customWidth="1" style="215" min="2" max="2"/>
    <col width="34" customWidth="1" style="215" min="3" max="3"/>
    <col width="52" customWidth="1" style="215" min="4" max="5"/>
    <col width="14" customWidth="1" style="215" min="6" max="6"/>
  </cols>
  <sheetData>
    <row r="1" ht="30" customHeight="1" s="215">
      <c r="A1" s="267" t="inlineStr">
        <is>
          <t>Industry Risks</t>
        </is>
      </c>
      <c r="B1" s="230" t="n"/>
      <c r="C1" s="230" t="n"/>
      <c r="D1" s="230" t="n"/>
      <c r="E1" s="230" t="n"/>
      <c r="F1" s="231" t="n"/>
    </row>
    <row r="2" ht="44" customHeight="1" s="215">
      <c r="A2" s="264" t="inlineStr">
        <is>
          <t>The one or two risks that most often kill or discount a deal in a given industry. Collected here as they come up, so the right one can be picked for the business in front of you. Nothing on this tab is wired into the model - these are candidates, not live questions.</t>
        </is>
      </c>
      <c r="B2" s="230" t="n"/>
      <c r="C2" s="230" t="n"/>
      <c r="D2" s="230" t="n"/>
      <c r="E2" s="230" t="n"/>
      <c r="F2" s="231" t="n"/>
    </row>
    <row r="3" ht="30" customHeight="1" s="215">
      <c r="A3" s="137" t="inlineStr">
        <is>
          <t>Industry</t>
        </is>
      </c>
      <c r="B3" s="137" t="inlineStr">
        <is>
          <t>NAICS code</t>
        </is>
      </c>
      <c r="C3" s="137" t="inlineStr">
        <is>
          <t>The risk</t>
        </is>
      </c>
      <c r="D3" s="137" t="inlineStr">
        <is>
          <t>Why a buyer discounts it</t>
        </is>
      </c>
      <c r="E3" s="137" t="inlineStr">
        <is>
          <t>Draft question</t>
        </is>
      </c>
      <c r="F3" s="137" t="inlineStr">
        <is>
          <t>Status</t>
        </is>
      </c>
    </row>
    <row r="4" ht="58" customHeight="1" s="215">
      <c r="A4" s="121" t="inlineStr">
        <is>
          <t>Wholesale &amp; Distribution</t>
        </is>
      </c>
      <c r="B4" s="121" t="inlineStr">
        <is>
          <t>42</t>
        </is>
      </c>
      <c r="C4" s="121" t="inlineStr">
        <is>
          <t>Obsolete or slow-moving inventory</t>
        </is>
      </c>
      <c r="D4" s="121" t="inlineStr">
        <is>
          <t>Inventory on the balance sheet at cost that will not sell at cost. A buyer writes it down in diligence, and the write-down comes off the price pound for pound on top of any multiple effect.</t>
        </is>
      </c>
      <c r="E4" s="121" t="inlineStr">
        <is>
          <t>What share of your inventory has not moved in the last twelve months, and what is it carried at?</t>
        </is>
      </c>
      <c r="F4" s="121" t="inlineStr">
        <is>
          <t>Not built</t>
        </is>
      </c>
    </row>
    <row r="5" ht="58" customHeight="1" s="215">
      <c r="A5" s="121" t="inlineStr">
        <is>
          <t xml:space="preserve">International Trade </t>
        </is>
      </c>
      <c r="B5" s="121" t="n"/>
      <c r="C5" s="121" t="inlineStr">
        <is>
          <t>Government policy change in the countries it depends on</t>
        </is>
      </c>
      <c r="D5" s="121" t="inlineStr">
        <is>
          <t>Tariffs, import or export rules, licensing and local ownership rules can remove a supply route or a market at short notice. A buyer prices that as earnings they cannot rely on.</t>
        </is>
      </c>
      <c r="E5" s="121" t="inlineStr">
        <is>
          <t>Which countries do your revenue and your supply depend on, and what policy change there would hurt you most?</t>
        </is>
      </c>
      <c r="F5" s="121" t="inlineStr">
        <is>
          <t>Not built</t>
        </is>
      </c>
    </row>
    <row r="6" ht="58" customHeight="1" s="215">
      <c r="A6" s="121" t="n"/>
      <c r="B6" s="121" t="n"/>
      <c r="C6" s="121" t="n"/>
      <c r="D6" s="121" t="n"/>
      <c r="E6" s="121" t="n"/>
      <c r="F6" s="121" t="n"/>
    </row>
    <row r="7" ht="58" customHeight="1" s="215">
      <c r="A7" s="121" t="n"/>
      <c r="B7" s="121" t="n"/>
      <c r="C7" s="121" t="n"/>
      <c r="D7" s="121" t="n"/>
      <c r="E7" s="121" t="n"/>
      <c r="F7" s="121" t="n"/>
    </row>
    <row r="8" ht="58" customHeight="1" s="215">
      <c r="A8" s="121" t="n"/>
      <c r="B8" s="121" t="n"/>
      <c r="C8" s="121" t="n"/>
      <c r="D8" s="121" t="n"/>
      <c r="E8" s="121" t="n"/>
      <c r="F8" s="121" t="n"/>
    </row>
    <row r="9" ht="58" customHeight="1" s="215">
      <c r="A9" s="121" t="n"/>
      <c r="B9" s="121" t="n"/>
      <c r="C9" s="121" t="n"/>
      <c r="D9" s="121" t="n"/>
      <c r="E9" s="121" t="n"/>
      <c r="F9" s="121" t="n"/>
    </row>
    <row r="10" ht="58" customHeight="1" s="215">
      <c r="A10" s="121" t="n"/>
      <c r="B10" s="121" t="n"/>
      <c r="C10" s="121" t="n"/>
      <c r="D10" s="121" t="n"/>
      <c r="E10" s="121" t="n"/>
      <c r="F10" s="121" t="n"/>
    </row>
    <row r="11" ht="58" customHeight="1" s="215">
      <c r="A11" s="121" t="n"/>
      <c r="B11" s="121" t="n"/>
      <c r="C11" s="121" t="n"/>
      <c r="D11" s="121" t="n"/>
      <c r="E11" s="121" t="n"/>
      <c r="F11" s="121" t="n"/>
    </row>
    <row r="12" ht="58" customHeight="1" s="215">
      <c r="A12" s="121" t="n"/>
      <c r="B12" s="121" t="n"/>
      <c r="C12" s="121" t="n"/>
      <c r="D12" s="121" t="n"/>
      <c r="E12" s="121" t="n"/>
      <c r="F12" s="121" t="n"/>
    </row>
    <row r="13" ht="58" customHeight="1" s="215">
      <c r="A13" s="121" t="n"/>
      <c r="B13" s="121" t="n"/>
      <c r="C13" s="121" t="n"/>
      <c r="D13" s="121" t="n"/>
      <c r="E13" s="121" t="n"/>
      <c r="F13" s="121" t="n"/>
    </row>
    <row r="14" ht="58" customHeight="1" s="215">
      <c r="A14" s="121" t="n"/>
      <c r="B14" s="121" t="n"/>
      <c r="C14" s="121" t="n"/>
      <c r="D14" s="121" t="n"/>
      <c r="E14" s="121" t="n"/>
      <c r="F14" s="121" t="n"/>
    </row>
    <row r="15" ht="58" customHeight="1" s="215">
      <c r="A15" s="121" t="n"/>
      <c r="B15" s="121" t="n"/>
      <c r="C15" s="121" t="n"/>
      <c r="D15" s="121" t="n"/>
      <c r="E15" s="121" t="n"/>
      <c r="F15" s="121" t="n"/>
    </row>
  </sheetData>
  <mergeCells count="2">
    <mergeCell ref="A2:F2"/>
    <mergeCell ref="A1:F1"/>
  </mergeCells>
  <pageMargins left="0.75" right="0.75" top="1" bottom="1" header="0.5" footer="0.5"/>
</worksheet>
</file>

<file path=xl/worksheets/sheet8.xml><?xml version="1.0" encoding="utf-8"?>
<worksheet xmlns="http://schemas.openxmlformats.org/spreadsheetml/2006/main">
  <sheetPr codeName="Sheet7">
    <outlinePr summaryBelow="1" summaryRight="1"/>
    <pageSetUpPr/>
  </sheetPr>
  <dimension ref="A1:V137"/>
  <sheetViews>
    <sheetView showGridLines="0" zoomScale="139" workbookViewId="0">
      <selection activeCell="K16" sqref="K16"/>
    </sheetView>
  </sheetViews>
  <sheetFormatPr baseColWidth="10" defaultColWidth="9" defaultRowHeight="14"/>
  <cols>
    <col width="46" customWidth="1" style="215" min="1" max="1"/>
    <col width="18" customWidth="1" style="270" min="2" max="3"/>
    <col width="18" customWidth="1" style="215" min="4" max="5"/>
    <col width="16" customWidth="1" style="215" min="6" max="6"/>
    <col width="14" customWidth="1" style="215" min="7" max="7"/>
    <col width="18" customWidth="1" style="215" min="8" max="8"/>
  </cols>
  <sheetData>
    <row r="1" ht="34" customHeight="1" s="215">
      <c r="A1" s="53" t="inlineStr">
        <is>
          <t>Engine</t>
        </is>
      </c>
      <c r="B1" s="53" t="inlineStr">
        <is>
          <t>Now</t>
        </is>
      </c>
      <c r="C1" s="53" t="inlineStr">
        <is>
          <t>Future</t>
        </is>
      </c>
      <c r="D1" s="53" t="n"/>
      <c r="E1" s="53" t="n"/>
      <c r="F1" s="53" t="n"/>
      <c r="G1" s="53" t="n"/>
    </row>
    <row r="2" ht="8" customHeight="1" s="215"/>
    <row r="3" ht="26" customHeight="1" s="215">
      <c r="A3" s="54" t="inlineStr">
        <is>
          <t>Inputs</t>
        </is>
      </c>
      <c r="B3" s="54" t="n"/>
      <c r="C3" s="54" t="n"/>
      <c r="D3" s="54" t="n"/>
      <c r="E3" s="54" t="n"/>
      <c r="F3" s="54" t="n"/>
      <c r="G3" s="54" t="n"/>
    </row>
    <row r="4" ht="24" customHeight="1" s="215">
      <c r="A4" s="55" t="inlineStr">
        <is>
          <t>Basis</t>
        </is>
      </c>
      <c r="B4" s="78">
        <f>Intake!$D$19</f>
        <v/>
      </c>
      <c r="C4" s="78" t="n"/>
      <c r="D4" s="56" t="n"/>
      <c r="E4" s="56" t="n"/>
      <c r="F4" s="56" t="n"/>
      <c r="G4" s="56" t="n"/>
    </row>
    <row r="5" ht="24" customHeight="1" s="215">
      <c r="A5" s="55" t="inlineStr">
        <is>
          <t>Earnings now</t>
        </is>
      </c>
      <c r="B5" s="79">
        <f>Intake!$D$20</f>
        <v/>
      </c>
      <c r="C5" s="78" t="n"/>
      <c r="D5" s="56" t="n"/>
      <c r="E5" s="56" t="n"/>
      <c r="F5" s="56" t="n"/>
      <c r="G5" s="56" t="n"/>
    </row>
    <row r="6" ht="24" customHeight="1" s="215">
      <c r="A6" s="55" t="inlineStr">
        <is>
          <t>Earnings future</t>
        </is>
      </c>
      <c r="B6" s="79">
        <f>'Value Acceleration'!$S$15</f>
        <v/>
      </c>
      <c r="C6" s="78" t="n"/>
      <c r="D6" s="56" t="n"/>
      <c r="E6" s="56" t="n"/>
      <c r="F6" s="56" t="n"/>
      <c r="G6" s="56" t="n"/>
    </row>
    <row r="7" ht="48" customHeight="1" s="215">
      <c r="A7" s="57" t="inlineStr">
        <is>
          <t>Set on the Value Acceleration tab from the three targets.</t>
        </is>
      </c>
      <c r="B7" s="63" t="n"/>
      <c r="C7" s="57" t="n"/>
      <c r="D7" s="57" t="n"/>
      <c r="E7" s="57" t="n"/>
      <c r="F7" s="57" t="n"/>
      <c r="G7" s="57" t="n"/>
    </row>
    <row r="8" ht="8" customHeight="1" s="215">
      <c r="A8" s="4" t="n"/>
      <c r="B8" s="80" t="n"/>
    </row>
    <row r="9" ht="8" customHeight="1" s="215"/>
    <row r="10" ht="26" customHeight="1" s="215">
      <c r="A10" s="54" t="inlineStr">
        <is>
          <t>Multiple anchors</t>
        </is>
      </c>
      <c r="B10" s="54" t="n"/>
      <c r="C10" s="54" t="n"/>
      <c r="D10" s="54" t="n"/>
      <c r="E10" s="54" t="n"/>
      <c r="F10" s="54" t="n"/>
      <c r="G10" s="54" t="n"/>
    </row>
    <row r="11" ht="24" customHeight="1" s="215">
      <c r="A11" s="55" t="inlineStr">
        <is>
          <t>Source in use</t>
        </is>
      </c>
      <c r="B11" s="81">
        <f>Assumptions!$B$16</f>
        <v/>
      </c>
      <c r="C11" s="78" t="n"/>
      <c r="D11" s="56" t="inlineStr">
        <is>
          <t>Industry</t>
        </is>
      </c>
      <c r="E11" s="61">
        <f>'Industry Data'!$B$3</f>
        <v/>
      </c>
      <c r="F11" s="56" t="n"/>
      <c r="G11" s="56" t="n"/>
    </row>
    <row r="12" ht="24" customHeight="1" s="215">
      <c r="A12" s="55" t="inlineStr">
        <is>
          <t>Revenue band used</t>
        </is>
      </c>
      <c r="B12" s="81">
        <f>N(Intake!$H$5)</f>
        <v/>
      </c>
      <c r="C12" s="78" t="n"/>
      <c r="D12" s="56" t="inlineStr">
        <is>
          <t>Deals (n)</t>
        </is>
      </c>
      <c r="E12" s="61">
        <f>IFERROR(INDEX('Industry Data'!$B$8:$B$9,MATCH($B$4,'Industry Data'!$A$8:$A$9,0)),0)</f>
        <v/>
      </c>
      <c r="F12" s="64" t="n"/>
      <c r="G12" s="64" t="n"/>
    </row>
    <row r="13" ht="24" customHeight="1" s="215">
      <c r="A13" s="55" t="inlineStr">
        <is>
          <t>Basis column offset</t>
        </is>
      </c>
      <c r="B13" s="81">
        <f>IF($B$4="SDE",0,4)</f>
        <v/>
      </c>
      <c r="C13" s="78" t="n"/>
      <c r="D13" s="56" t="inlineStr">
        <is>
          <t>Step 1 - profit band</t>
        </is>
      </c>
      <c r="E13" s="61">
        <f>IFERROR(INDEX('Size Curve'!$D$3:$D$12,IFERROR(MATCH(N(Intake!$H$5),'Size Curve'!$B$3:$B$12,1),1)),"")</f>
        <v/>
      </c>
      <c r="F13" s="64" t="n"/>
      <c r="G13" s="64" t="n"/>
    </row>
    <row r="14" ht="24" customHeight="1" s="215">
      <c r="A14" s="55" t="inlineStr">
        <is>
          <t>Band row</t>
        </is>
      </c>
      <c r="B14" s="81">
        <f>IFERROR(MATCH(N(Intake!$H$5),'Size Curve'!$B$3:$B$12,1),1)</f>
        <v/>
      </c>
      <c r="C14" s="78" t="n"/>
      <c r="D14" s="56" t="inlineStr">
        <is>
          <t>Step 2 - industry adjustment</t>
        </is>
      </c>
      <c r="E14" s="64">
        <f>IFERROR(IFERROR(INDEX('Industry Data'!$E$8:$E$9,MATCH($B$4,'Industry Data'!$A$8:$A$9,0)),0)/IF($B$4="SDE",Assumptions!$B$27,Assumptions!$B$28),1)</f>
        <v/>
      </c>
      <c r="F14" s="56" t="n"/>
      <c r="G14" s="56" t="n"/>
    </row>
    <row r="15" ht="24" customHeight="1" s="215">
      <c r="A15" s="55" t="inlineStr">
        <is>
          <t>Status</t>
        </is>
      </c>
      <c r="B15" s="78">
        <f>IF(Assumptions!$B$16="Industry Data",IF(IFERROR(INDEX('Industry Data'!$E$8:$E$9,MATCH($B$4,'Industry Data'!$A$8:$A$9,0)),0)=0,"NO DATA for the "&amp;$B$4&amp;" path - fill that row on Industry Data or switch to the Size Curve backup on Assumptions",IF(N($E$12)&lt;30,"only "&amp;N($E$12)&amp;" deals behind these multiples - consider the Size Curve backup",'Industry Data'!$B$5&amp;"   -   "&amp;'Industry Data'!$B$3&amp;IF('Industry Data'!$B$10="",""," ,  "&amp;'Industry Data'!$B$10)&amp;"   -   "&amp;N($E$12)&amp;" deals")),IF(OR(N($E$14)&lt;Assumptions!$B$29,N($E$14)&gt;Assumptions!$B$30),"BACKUP - adjustment is "&amp;TEXT(N($E$14),"0.00")&amp;", outside the allowed range. The industry pull is probably not an all-sizes pull, so it is not comparable. CHECK IT.","BACKUP - Size Curve "&amp;$E$13&amp;" band, all industries, adjusted "&amp;TEXT(N($E$14)-1,"+0.0%;-0.0%")&amp;" for "&amp;'Industry Data'!$B$3)&amp;"   -   spread taken from the "&amp;IF(OR(N($E$12)&lt;30,N(IFERROR(INDEX('Industry Data'!$E$8:$E$9,MATCH($B$4,'Industry Data'!$A$8:$A$9,0)),0))=0),"size band only - too few deals in the industry pull","lower of the industry and the size band"))</f>
        <v/>
      </c>
      <c r="C15" s="78" t="n"/>
      <c r="D15" s="56" t="inlineStr">
        <is>
          <t>Pull looks size-matched?</t>
        </is>
      </c>
      <c r="E15" s="64">
        <f>IF(N(IFERROR(INDEX('Industry Data'!$E$8:$E$9,MATCH($B$4,'Industry Data'!$A$8:$A$9,0)),0))=0,"",IF(ABS(N(IFERROR(INDEX('Industry Data'!$E$8:$E$9,MATCH($B$4,'Industry Data'!$A$8:$A$9,0)),0))/N(IFERROR(INDEX('Size Curve'!$F$3:$M$12,$B$14,$B$13+2),0))-1)&lt;0.25,"YES - too close to the band for this business, so it is probably a revenue-matched pull and must not be used for the adjustment","no - the two are far apart, which is what an all-sizes pull looks like"))</f>
        <v/>
      </c>
      <c r="F15" s="56" t="n"/>
      <c r="G15" s="56" t="n"/>
    </row>
    <row r="16" ht="59" customHeight="1" s="215">
      <c r="A16" s="58" t="inlineStr">
        <is>
          <t>Anchors</t>
        </is>
      </c>
      <c r="B16" s="59" t="inlineStr">
        <is>
          <t>Score 1 - distressed floor</t>
        </is>
      </c>
      <c r="C16" s="59" t="inlineStr">
        <is>
          <t>Score 2 - 10th</t>
        </is>
      </c>
      <c r="D16" s="59" t="inlineStr">
        <is>
          <t>Why closeness matters</t>
        </is>
      </c>
      <c r="E16" s="59" t="inlineStr">
        <is>
          <t>An all-sizes industry pull is dominated by small deals, so its median sits nowhere near the band of a business this size - far apart is what you want. If the two are close the pull has already been filtered to this revenue band, and comparing it to the all-industry median compares two different populations. Close is the warning, not the goal. It is a rough check, not an exact match.</t>
        </is>
      </c>
      <c r="F16" s="59" t="inlineStr">
        <is>
          <t>Score 5 - 90th</t>
        </is>
      </c>
      <c r="G16" s="59" t="n"/>
    </row>
    <row r="17" ht="24" customHeight="1" s="215">
      <c r="A17" s="55" t="inlineStr">
        <is>
          <t>Now</t>
        </is>
      </c>
      <c r="B17" s="82">
        <f>Assumptions!$B$17</f>
        <v/>
      </c>
      <c r="C17" s="82">
        <f>IF(Assumptions!$B$16="Industry Data",IFERROR(INDEX('Industry Data'!$C$8:$C$9,MATCH($B$4,'Industry Data'!$A$8:$A$9,0)),0),IFERROR(INDEX('Size Curve'!$F$3:$M$12,$B$14,$B$13+2),0)*$E$14*N($B$42))</f>
        <v/>
      </c>
      <c r="D17" s="65">
        <f>IF(Assumptions!$B$16="Industry Data",IFERROR(INDEX('Industry Data'!$E$8:$E$9,MATCH($B$4,'Industry Data'!$A$8:$A$9,0)),0),IFERROR(INDEX('Size Curve'!$F$3:$M$12,$B$14,$B$13+2),0)*$E$14)</f>
        <v/>
      </c>
      <c r="E17" s="65">
        <f>IF(Assumptions!$B$16="Industry Data",IFERROR(INDEX('Industry Data'!$F$8:$F$9,MATCH($B$4,'Industry Data'!$A$8:$A$9,0)),0),IFERROR(INDEX('Size Curve'!$F$3:$M$12,$B$14,$B$13+2),0)*$E$14*N($C$42))</f>
        <v/>
      </c>
      <c r="F17" s="65">
        <f>IF(Assumptions!$B$16="Industry Data",IFERROR(INDEX('Industry Data'!$G$8:$G$9,MATCH($B$4,'Industry Data'!$A$8:$A$9,0)),0),IFERROR(INDEX('Size Curve'!$F$3:$M$12,$B$14,$B$13+2),0)*$E$14*N($D$42))</f>
        <v/>
      </c>
      <c r="G17" s="56" t="n"/>
    </row>
    <row r="18" ht="24" customHeight="1" s="215">
      <c r="A18" s="55" t="inlineStr">
        <is>
          <t>Future</t>
        </is>
      </c>
      <c r="B18" s="82">
        <f>Assumptions!$B$17</f>
        <v/>
      </c>
      <c r="C18" s="82">
        <f>IF(Assumptions!$B$16="Industry Data",IFERROR(INDEX('Industry Data'!$C$8:$C$9,MATCH($B$4,'Industry Data'!$A$8:$A$9,0)),0),IFERROR(INDEX('Size Curve'!$F$3:$M$12,$B$14,$B$13+2),0)*$E$14*N($B$42))</f>
        <v/>
      </c>
      <c r="D18" s="65">
        <f>IF(Assumptions!$B$16="Industry Data",IFERROR(INDEX('Industry Data'!$E$8:$E$9,MATCH($B$4,'Industry Data'!$A$8:$A$9,0)),0),IFERROR(INDEX('Size Curve'!$F$3:$M$12,$B$14,$B$13+2),0)*$E$14)</f>
        <v/>
      </c>
      <c r="E18" s="65">
        <f>IF(Assumptions!$B$16="Industry Data",IFERROR(INDEX('Industry Data'!$F$8:$F$9,MATCH($B$4,'Industry Data'!$A$8:$A$9,0)),0),IFERROR(INDEX('Size Curve'!$F$3:$M$12,$B$14,$B$13+2),0)*$E$14*N($C$42))</f>
        <v/>
      </c>
      <c r="F18" s="65">
        <f>IF(Assumptions!$B$16="Industry Data",IFERROR(INDEX('Industry Data'!$G$8:$G$9,MATCH($B$4,'Industry Data'!$A$8:$A$9,0)),0),IFERROR(INDEX('Size Curve'!$F$3:$M$12,$B$14,$B$13+2),0)*$E$14*N($D$42))</f>
        <v/>
      </c>
      <c r="G18" s="56" t="n"/>
    </row>
    <row r="19" ht="8" customHeight="1" s="215"/>
    <row r="20" ht="26" customHeight="1" s="215">
      <c r="A20" s="54" t="inlineStr">
        <is>
          <t>Multiple build</t>
        </is>
      </c>
      <c r="B20" s="54" t="n"/>
      <c r="C20" s="54" t="n"/>
      <c r="D20" s="54" t="n"/>
      <c r="E20" s="54" t="n"/>
      <c r="F20" s="54" t="n"/>
      <c r="G20" s="54" t="n"/>
    </row>
    <row r="21" ht="28" customHeight="1" s="215">
      <c r="A21" s="58" t="n"/>
      <c r="B21" s="59" t="inlineStr">
        <is>
          <t>Now</t>
        </is>
      </c>
      <c r="C21" s="59" t="inlineStr">
        <is>
          <t>Future</t>
        </is>
      </c>
      <c r="D21" s="59" t="n"/>
      <c r="E21" s="59" t="n"/>
      <c r="F21" s="59" t="n"/>
      <c r="G21" s="59" t="n"/>
    </row>
    <row r="22" ht="24" customHeight="1" s="215">
      <c r="A22" s="55" t="inlineStr">
        <is>
          <t>Value score (1-5) - drives the multiple</t>
        </is>
      </c>
      <c r="B22" s="83">
        <f>Engine!$B$137</f>
        <v/>
      </c>
      <c r="C22" s="83">
        <f>Engine!$C$137</f>
        <v/>
      </c>
      <c r="D22" s="56" t="n"/>
      <c r="E22" s="56" t="n"/>
      <c r="F22" s="56" t="n"/>
      <c r="G22" s="56" t="n"/>
    </row>
    <row r="23" ht="24" customHeight="1" s="215">
      <c r="A23" s="55" t="inlineStr">
        <is>
          <t>Fatal flaws</t>
        </is>
      </c>
      <c r="B23" s="78">
        <f>Scorecard!$B$41</f>
        <v/>
      </c>
      <c r="C23" s="78">
        <f>Scorecard!$C$41</f>
        <v/>
      </c>
      <c r="D23" s="56" t="n"/>
      <c r="E23" s="56" t="n"/>
      <c r="F23" s="56" t="n"/>
      <c r="G23" s="56" t="n"/>
    </row>
    <row r="24" ht="24" customHeight="1" s="215">
      <c r="A24" s="55" t="inlineStr">
        <is>
          <t>Percentile</t>
        </is>
      </c>
      <c r="B24" s="84">
        <f>MIN(IF(B22&lt;=Assumptions!$A$5,Assumptions!$B$5,IF(B22&lt;=Assumptions!$A$6,Assumptions!$B$5+(B22-Assumptions!$A$5)/(Assumptions!$A$6-Assumptions!$A$5)*(Assumptions!$B$6-Assumptions!$B$5),IF(B22&lt;=Assumptions!$A$7,Assumptions!$B$6+(B22-Assumptions!$A$6)/(Assumptions!$A$7-Assumptions!$A$6)*(Assumptions!$B$7-Assumptions!$B$6),IF(B22&lt;=Assumptions!$A$8,Assumptions!$B$7+(B22-Assumptions!$A$7)/(Assumptions!$A$8-Assumptions!$A$7)*(Assumptions!$B$8-Assumptions!$B$7),IF(B22&lt;=Assumptions!$A$9,Assumptions!$B$8+(B22-Assumptions!$A$8)/(Assumptions!$A$9-Assumptions!$A$8)*(Assumptions!$B$9-Assumptions!$B$8),Assumptions!$B$9))))),Assumptions!$D$7)</f>
        <v/>
      </c>
      <c r="C24" s="84">
        <f>MIN(IF(C22&lt;=Assumptions!$A$5,Assumptions!$B$5,IF(C22&lt;=Assumptions!$A$6,Assumptions!$B$5+(C22-Assumptions!$A$5)/(Assumptions!$A$6-Assumptions!$A$5)*(Assumptions!$B$6-Assumptions!$B$5),IF(C22&lt;=Assumptions!$A$7,Assumptions!$B$6+(C22-Assumptions!$A$6)/(Assumptions!$A$7-Assumptions!$A$6)*(Assumptions!$B$7-Assumptions!$B$6),IF(C22&lt;=Assumptions!$A$8,Assumptions!$B$7+(C22-Assumptions!$A$7)/(Assumptions!$A$8-Assumptions!$A$7)*(Assumptions!$B$8-Assumptions!$B$7),IF(C22&lt;=Assumptions!$A$9,Assumptions!$B$8+(C22-Assumptions!$A$8)/(Assumptions!$A$9-Assumptions!$A$8)*(Assumptions!$B$9-Assumptions!$B$8),Assumptions!$B$9))))),Assumptions!$D$7)</f>
        <v/>
      </c>
      <c r="D24" s="56" t="n"/>
      <c r="E24" s="56" t="n"/>
      <c r="F24" s="56" t="n"/>
      <c r="G24" s="56" t="n"/>
    </row>
    <row r="25" ht="24" customHeight="1" s="215">
      <c r="A25" s="55" t="inlineStr">
        <is>
          <t>Percentile after gates</t>
        </is>
      </c>
      <c r="B25" s="84">
        <f>B24</f>
        <v/>
      </c>
      <c r="C25" s="84">
        <f>C24</f>
        <v/>
      </c>
      <c r="D25" s="56" t="n"/>
      <c r="E25" s="56" t="n"/>
      <c r="F25" s="56" t="n"/>
      <c r="G25" s="56" t="n"/>
    </row>
    <row r="26" ht="24" customHeight="1" s="215">
      <c r="A26" s="55" t="inlineStr">
        <is>
          <t>Multiple</t>
        </is>
      </c>
      <c r="B26" s="82">
        <f>IF(B25&lt;=Assumptions!$B$5,$B$17,IF(B25&lt;=Assumptions!$B$6,$B$17+(B25-Assumptions!$B$5)/(Assumptions!$B$6-Assumptions!$B$5)*($C$17-$B$17),IF(B25&lt;=Assumptions!$B$7,$C$17+(B25-Assumptions!$B$6)/(Assumptions!$B$7-Assumptions!$B$6)*($D$17-$C$17),IF(B25&lt;=Assumptions!$B$8,$D$17+(B25-Assumptions!$B$7)/(Assumptions!$B$8-Assumptions!$B$7)*($E$17-$D$17),IF(B25&lt;=Assumptions!$B$9,$E$17+(B25-Assumptions!$B$8)/(Assumptions!$B$9-Assumptions!$B$8)*($F$17-$E$17),$F$17)))))</f>
        <v/>
      </c>
      <c r="C26" s="82">
        <f>IF(C25&lt;=Assumptions!$B$5,$B$18,IF(C25&lt;=Assumptions!$B$6,$B$18+(C25-Assumptions!$B$5)/(Assumptions!$B$6-Assumptions!$B$5)*($C$18-$B$18),IF(C25&lt;=Assumptions!$B$7,$C$18+(C25-Assumptions!$B$6)/(Assumptions!$B$7-Assumptions!$B$6)*($D$18-$C$18),IF(C25&lt;=Assumptions!$B$8,$D$18+(C25-Assumptions!$B$7)/(Assumptions!$B$8-Assumptions!$B$7)*($E$18-$D$18),IF(C25&lt;=Assumptions!$B$9,$E$18+(C25-Assumptions!$B$8)/(Assumptions!$B$9-Assumptions!$B$8)*($F$18-$E$18),$F$18)))))</f>
        <v/>
      </c>
      <c r="D26" s="56" t="n"/>
      <c r="E26" s="56" t="n"/>
      <c r="F26" s="56" t="n"/>
      <c r="G26" s="56" t="n"/>
    </row>
    <row r="27" ht="24" customHeight="1" s="215">
      <c r="A27" s="55" t="inlineStr">
        <is>
          <t>Gate haircut</t>
        </is>
      </c>
      <c r="B27" s="82">
        <f>B26*(1-PRODUCT(Questions!$AD$3:$AD$45))</f>
        <v/>
      </c>
      <c r="C27" s="82">
        <f>C26*(1-PRODUCT(Questions!$AE$3:$AE$45))</f>
        <v/>
      </c>
      <c r="D27" s="56" t="n"/>
      <c r="E27" s="56" t="n"/>
      <c r="F27" s="56" t="n"/>
      <c r="G27" s="56" t="n"/>
    </row>
    <row r="28" ht="24" customHeight="1" s="215">
      <c r="A28" s="55" t="inlineStr">
        <is>
          <t>Multiple after haircut</t>
        </is>
      </c>
      <c r="B28" s="82">
        <f>B26-B27</f>
        <v/>
      </c>
      <c r="C28" s="82">
        <f>C26-C27</f>
        <v/>
      </c>
      <c r="D28" s="56" t="n"/>
      <c r="E28" s="56" t="n"/>
      <c r="F28" s="56" t="n"/>
      <c r="G28" s="56" t="n"/>
    </row>
    <row r="29" ht="24" customHeight="1" s="215">
      <c r="A29" s="55" t="inlineStr">
        <is>
          <t>Distressed floor</t>
        </is>
      </c>
      <c r="B29" s="82">
        <f>Assumptions!$B$17</f>
        <v/>
      </c>
      <c r="C29" s="82">
        <f>Assumptions!$B$17</f>
        <v/>
      </c>
      <c r="D29" s="56" t="n"/>
      <c r="E29" s="56" t="n"/>
      <c r="F29" s="56" t="n"/>
      <c r="G29" s="56" t="n"/>
    </row>
    <row r="30" ht="24" customHeight="1" s="215">
      <c r="A30" s="55" t="inlineStr">
        <is>
          <t>FINAL MULTIPLE</t>
        </is>
      </c>
      <c r="B30" s="82">
        <f>$B$101*(1-$B$100)</f>
        <v/>
      </c>
      <c r="C30" s="82">
        <f>$C$101*(1-$C$100)</f>
        <v/>
      </c>
      <c r="D30" s="56" t="n"/>
      <c r="E30" s="56" t="n"/>
      <c r="F30" s="56" t="n"/>
      <c r="G30" s="56" t="n"/>
    </row>
    <row r="31" ht="24" customHeight="1" s="215">
      <c r="A31" s="55" t="inlineStr">
        <is>
          <t>Tier</t>
        </is>
      </c>
      <c r="B31" s="78">
        <f>INDEX(Assumptions!$B$21:$B$25,MATCH(IF($B$23&gt;=3,0,IF($B$23=2,MIN($B$33,Assumptions!$A$23-0.001),IF($B$23=1,MIN($B$33,Assumptions!$A$25-0.001),$B$33))),Assumptions!$A$21:$A$25,1))</f>
        <v/>
      </c>
      <c r="C31" s="78">
        <f>INDEX(Assumptions!$B$21:$B$25,MATCH(IF($C$23&gt;=3,0,IF($C$23=2,MIN($C$33,Assumptions!$A$23-0.001),IF($C$23=1,MIN($C$33,Assumptions!$A$25-0.001),$C$33))),Assumptions!$A$21:$A$25,1))</f>
        <v/>
      </c>
      <c r="D31" s="56" t="n"/>
      <c r="E31" s="56" t="n"/>
      <c r="F31" s="56" t="n"/>
      <c r="G31" s="56" t="n"/>
    </row>
    <row r="32" ht="24" customHeight="1" s="215">
      <c r="A32" s="55" t="inlineStr">
        <is>
          <t>Probability of sale   -   number, then the same thing in words</t>
        </is>
      </c>
      <c r="B32" s="85">
        <f>INDEX(Assumptions!$C$21:$C$25,MATCH(IF($B$23&gt;=3,0,IF($B$23=2,MIN($B$33,Assumptions!$A$23-0.001),IF($B$23=1,MIN($B$33,Assumptions!$A$25-0.001),$B$33))),Assumptions!$A$21:$A$25,1))</f>
        <v/>
      </c>
      <c r="C32" s="85">
        <f>INDEX(Assumptions!$C$21:$C$25,MATCH(IF($C$23&gt;=3,0,IF($C$23=2,MIN($C$33,Assumptions!$A$23-0.001),IF($C$23=1,MIN($C$33,Assumptions!$A$25-0.001),$C$33))),Assumptions!$A$21:$A$25,1))</f>
        <v/>
      </c>
      <c r="D32" s="263">
        <f>INDEX(Assumptions!$D$21:$D$25,MATCH(IF($B$23&gt;=3,0,IF($B$23=2,MIN($B$33,Assumptions!$A$23-0.001),IF($B$23=1,MIN($B$33,Assumptions!$A$25-0.001),$B$33))),Assumptions!$A$21:$A$25,1))</f>
        <v/>
      </c>
      <c r="E32" s="263">
        <f>INDEX(Assumptions!$D$21:$D$25,MATCH(IF($C$23&gt;=3,0,IF($C$23=2,MIN($C$33,Assumptions!$A$23-0.001),IF($C$23=1,MIN($C$33,Assumptions!$A$25-0.001),$C$33))),Assumptions!$A$21:$A$25,1))</f>
        <v/>
      </c>
      <c r="F32" s="56" t="n"/>
      <c r="G32" s="56" t="n"/>
    </row>
    <row r="33" ht="24" customHeight="1" s="215">
      <c r="A33" s="71" t="inlineStr">
        <is>
          <t>Sellability score (1-5) - drives the tier above</t>
        </is>
      </c>
      <c r="B33" s="70">
        <f>Engine!$B$136</f>
        <v/>
      </c>
      <c r="C33" s="70">
        <f>Engine!$C$136</f>
        <v/>
      </c>
    </row>
    <row r="34" ht="26" customHeight="1" s="215">
      <c r="A34" s="124" t="inlineStr">
        <is>
          <t>Isolated levers</t>
        </is>
      </c>
      <c r="B34" s="124" t="n"/>
      <c r="C34" s="124" t="n"/>
      <c r="D34" s="124" t="n"/>
      <c r="E34" s="124" t="n"/>
      <c r="F34" s="54" t="n"/>
      <c r="G34" s="54" t="n"/>
    </row>
    <row r="35" ht="24" customHeight="1" s="215">
      <c r="A35" s="121" t="inlineStr">
        <is>
          <t>Earnings growth only - multiple held at now</t>
        </is>
      </c>
      <c r="B35" s="128">
        <f>Engine!$B$6*Engine!$B$30</f>
        <v/>
      </c>
      <c r="C35" s="129" t="n"/>
      <c r="D35" s="108" t="n"/>
      <c r="E35" s="108" t="n"/>
      <c r="F35" s="56" t="n"/>
      <c r="G35" s="56" t="n"/>
    </row>
    <row r="36" ht="24" customHeight="1" s="215">
      <c r="A36" s="55" t="inlineStr">
        <is>
          <t>Score improvement only - earnings held at now</t>
        </is>
      </c>
      <c r="B36" s="79">
        <f>Engine!$B$5*Engine!$C$30</f>
        <v/>
      </c>
      <c r="C36" s="78" t="n"/>
      <c r="D36" s="56" t="n"/>
      <c r="E36" s="56" t="n"/>
      <c r="F36" s="56" t="n"/>
      <c r="G36" s="56" t="n"/>
    </row>
    <row r="37" ht="8" customHeight="1" s="215"/>
    <row r="38" ht="26" customHeight="1" s="215">
      <c r="A38" s="157" t="inlineStr">
        <is>
          <t>Backup shape - how far the 10th, 75th and 90th sit from the median</t>
        </is>
      </c>
      <c r="B38" s="54" t="n"/>
      <c r="C38" s="54" t="n"/>
      <c r="D38" s="54" t="n"/>
      <c r="E38" s="54" t="n"/>
      <c r="F38" s="54" t="n"/>
      <c r="G38" s="54" t="n"/>
    </row>
    <row r="39" ht="28" customHeight="1" s="215">
      <c r="A39" s="158" t="inlineStr">
        <is>
          <t>Spread against the median</t>
        </is>
      </c>
      <c r="B39" s="59" t="inlineStr">
        <is>
          <t>10th</t>
        </is>
      </c>
      <c r="C39" s="59" t="inlineStr">
        <is>
          <t>75th</t>
        </is>
      </c>
      <c r="D39" s="59" t="inlineStr">
        <is>
          <t>90th</t>
        </is>
      </c>
      <c r="E39" s="59" t="n"/>
      <c r="F39" s="59" t="n"/>
      <c r="G39" s="59" t="n"/>
    </row>
    <row r="40" ht="24" customHeight="1" s="215">
      <c r="A40" s="159" t="inlineStr">
        <is>
          <t>The industry's own deals</t>
        </is>
      </c>
      <c r="B40" s="83">
        <f>IFERROR(IFERROR(INDEX('Industry Data'!$C$8:$C$9,MATCH($B$4,'Industry Data'!$A$8:$A$9,0)),0)/IFERROR(INDEX('Industry Data'!$E$8:$E$9,MATCH($B$4,'Industry Data'!$A$8:$A$9,0)),0),"")</f>
        <v/>
      </c>
      <c r="C40" s="84">
        <f>IFERROR(IFERROR(INDEX('Industry Data'!$F$8:$F$9,MATCH($B$4,'Industry Data'!$A$8:$A$9,0)),0)/IFERROR(INDEX('Industry Data'!$E$8:$E$9,MATCH($B$4,'Industry Data'!$A$8:$A$9,0)),0),"")</f>
        <v/>
      </c>
      <c r="D40" s="65">
        <f>IFERROR(IFERROR(INDEX('Industry Data'!$G$8:$G$9,MATCH($B$4,'Industry Data'!$A$8:$A$9,0)),0)/IFERROR(INDEX('Industry Data'!$E$8:$E$9,MATCH($B$4,'Industry Data'!$A$8:$A$9,0)),0),"")</f>
        <v/>
      </c>
      <c r="E40" s="56" t="n"/>
      <c r="F40" s="56" t="n"/>
      <c r="G40" s="56" t="n"/>
    </row>
    <row r="41" ht="24" customHeight="1" s="215">
      <c r="A41" s="159" t="inlineStr">
        <is>
          <t>The size band, all industries</t>
        </is>
      </c>
      <c r="B41" s="83">
        <f>IFERROR(IFERROR(INDEX('Size Curve'!$F$3:$M$12,$B$14,$B$13+1),0)/IFERROR(INDEX('Size Curve'!$F$3:$M$12,$B$14,$B$13+2),0),"")</f>
        <v/>
      </c>
      <c r="C41" s="84">
        <f>IFERROR(IFERROR(INDEX('Size Curve'!$F$3:$M$12,$B$14,$B$13+3),0)/IFERROR(INDEX('Size Curve'!$F$3:$M$12,$B$14,$B$13+2),0),"")</f>
        <v/>
      </c>
      <c r="D41" s="65">
        <f>IFERROR(IFERROR(INDEX('Size Curve'!$F$3:$M$12,$B$14,$B$13+4),0)/IFERROR(INDEX('Size Curve'!$F$3:$M$12,$B$14,$B$13+2),0),"")</f>
        <v/>
      </c>
      <c r="E41" s="56" t="n"/>
      <c r="F41" s="56" t="n"/>
      <c r="G41" s="56" t="n"/>
    </row>
    <row r="42" ht="24" customHeight="1" s="215">
      <c r="A42" s="159" t="inlineStr">
        <is>
          <t>Used - the lower of the two, so the backup never widens the spread</t>
        </is>
      </c>
      <c r="B42" s="83">
        <f>IF(OR(N($E$12)&lt;30,N(IFERROR(INDEX('Industry Data'!$E$8:$E$9,MATCH($B$4,'Industry Data'!$A$8:$A$9,0)),0))=0),N($B$41),MIN(N($B$40),N($B$41)))</f>
        <v/>
      </c>
      <c r="C42" s="84">
        <f>IF(OR(N($E$12)&lt;30,N(IFERROR(INDEX('Industry Data'!$E$8:$E$9,MATCH($B$4,'Industry Data'!$A$8:$A$9,0)),0))=0),N($C$41),MIN(N($C$40),N($C$41)))</f>
        <v/>
      </c>
      <c r="D42" s="65">
        <f>IF(OR(N($E$12)&lt;30,N(IFERROR(INDEX('Industry Data'!$E$8:$E$9,MATCH($B$4,'Industry Data'!$A$8:$A$9,0)),0))=0),N($D$41),MIN(N($D$40),N($D$41)))</f>
        <v/>
      </c>
      <c r="E42" s="56" t="n"/>
      <c r="F42" s="56" t="n"/>
      <c r="G42" s="56" t="n"/>
    </row>
    <row r="43" ht="24" customHeight="1" s="215">
      <c r="A43" s="159" t="inlineStr">
        <is>
          <t>Which one</t>
        </is>
      </c>
      <c r="B43" s="83">
        <f>IF(OR(N($E$12)&lt;30,N(IFERROR(INDEX('Industry Data'!$E$8:$E$9,MATCH($B$4,'Industry Data'!$A$8:$A$9,0)),0))=0),"size band - the industry pull has too few deals for its own spread to mean anything","lower of the industry's own spread and the size band's")</f>
        <v/>
      </c>
      <c r="C43" s="84" t="n"/>
      <c r="D43" s="65" t="n"/>
      <c r="E43" s="56" t="n"/>
      <c r="F43" s="56" t="n"/>
      <c r="G43" s="56" t="n"/>
    </row>
    <row r="44" ht="24" customHeight="1" s="215">
      <c r="A44" s="55" t="n"/>
      <c r="B44" s="83" t="n"/>
      <c r="C44" s="84" t="n"/>
      <c r="D44" s="65" t="n"/>
      <c r="E44" s="56" t="n"/>
      <c r="F44" s="56" t="n"/>
      <c r="G44" s="56" t="n"/>
    </row>
    <row r="45" ht="24" customHeight="1" s="215">
      <c r="A45" s="55" t="n"/>
      <c r="B45" s="83" t="n"/>
      <c r="C45" s="84" t="n"/>
      <c r="D45" s="65" t="n"/>
      <c r="E45" s="56" t="n"/>
      <c r="F45" s="56" t="n"/>
      <c r="G45" s="56" t="n"/>
    </row>
    <row r="46" ht="24" customHeight="1" s="215">
      <c r="A46" s="55" t="n"/>
      <c r="B46" s="83" t="n"/>
      <c r="C46" s="84" t="n"/>
      <c r="D46" s="65" t="n"/>
      <c r="E46" s="56" t="n"/>
      <c r="F46" s="56" t="n"/>
      <c r="G46" s="56" t="n"/>
    </row>
    <row r="47" ht="8" customHeight="1" s="215">
      <c r="A47" s="164" t="inlineStr">
        <is>
          <t>Future margin</t>
        </is>
      </c>
      <c r="B47" s="86">
        <f>IFERROR($B$6/(Intake!$H$5*(1+'Value Acceleration'!$C$9)),"")</f>
        <v/>
      </c>
      <c r="C47" s="87" t="n"/>
      <c r="D47" s="6" t="n"/>
    </row>
    <row r="48" ht="8" customHeight="1" s="215">
      <c r="A48" s="165" t="inlineStr">
        <is>
          <t>Future margin against the industry</t>
        </is>
      </c>
      <c r="B48">
        <f>IF(COUNT(INDEX('Industry Data'!$C$14:$G$15,IF($B$4="SDE",14,15)-13,0))&lt;5,"No benchmark loaded",IF($B$47="","",IF($B$47&gt;=INDEX('Industry Data'!$G$14:$G$15,IF($B$4="SDE",14,15)-13),"Top 10%",IF($B$47&gt;=INDEX('Industry Data'!$F$14:$F$15,IF($B$4="SDE",14,15)-13),"Above 75th",IF($B$47&gt;=INDEX('Industry Data'!$E$14:$E$15,IF($B$4="SDE",14,15)-13),"Above median",IF($B$47&gt;=INDEX('Industry Data'!$D$14:$D$15,IF($B$4="SDE",14,15)-13),"Below median","Bottom 25%"))))))</f>
        <v/>
      </c>
    </row>
    <row r="49" ht="26" customHeight="1" s="215">
      <c r="A49" s="54" t="inlineStr">
        <is>
          <t>How a score becomes a multiple</t>
        </is>
      </c>
      <c r="B49" s="54" t="n"/>
      <c r="C49" s="54" t="n"/>
      <c r="D49" s="54" t="n"/>
      <c r="E49" s="54" t="n"/>
      <c r="F49" s="54" t="n"/>
      <c r="G49" s="54" t="n"/>
    </row>
    <row r="50" ht="28" customHeight="1" s="215">
      <c r="A50" s="58" t="inlineStr">
        <is>
          <t>Composite score</t>
        </is>
      </c>
      <c r="B50" s="59" t="inlineStr">
        <is>
          <t>Percentile it reads</t>
        </is>
      </c>
      <c r="C50" s="59" t="inlineStr">
        <is>
          <t>Multiple it gives (now)</t>
        </is>
      </c>
      <c r="D50" s="268">
        <f>IF(Engine!$B$13="ok","",Engine!$B$13)</f>
        <v/>
      </c>
      <c r="E50" s="230" t="n"/>
      <c r="F50" s="230" t="n"/>
      <c r="G50" s="231" t="n"/>
    </row>
    <row r="51" ht="24" customHeight="1" s="215">
      <c r="A51" s="67">
        <f>Assumptions!$A$5</f>
        <v/>
      </c>
      <c r="B51" s="84">
        <f>Assumptions!$B$5</f>
        <v/>
      </c>
      <c r="C51" s="82">
        <f>B$17</f>
        <v/>
      </c>
      <c r="D51" s="56" t="n"/>
      <c r="E51" s="56" t="n"/>
      <c r="F51" s="56" t="n"/>
      <c r="G51" s="56" t="n"/>
    </row>
    <row r="52" ht="24" customHeight="1" s="215">
      <c r="A52" s="67">
        <f>Assumptions!$A$6</f>
        <v/>
      </c>
      <c r="B52" s="84">
        <f>Assumptions!$B$6</f>
        <v/>
      </c>
      <c r="C52" s="82">
        <f>C$17</f>
        <v/>
      </c>
      <c r="D52" s="56" t="n"/>
      <c r="E52" s="56" t="n"/>
      <c r="F52" s="56" t="n"/>
      <c r="G52" s="56" t="n"/>
    </row>
    <row r="53" ht="24" customHeight="1" s="215">
      <c r="A53" s="67">
        <f>Assumptions!$A$7</f>
        <v/>
      </c>
      <c r="B53" s="84">
        <f>Assumptions!$B$7</f>
        <v/>
      </c>
      <c r="C53" s="82">
        <f>D$17</f>
        <v/>
      </c>
      <c r="D53" s="56" t="n"/>
      <c r="E53" s="56" t="n"/>
      <c r="F53" s="56" t="n"/>
      <c r="G53" s="56" t="n"/>
    </row>
    <row r="54" ht="24" customHeight="1" s="215">
      <c r="A54" s="67">
        <f>Assumptions!$A$8</f>
        <v/>
      </c>
      <c r="B54" s="84">
        <f>Assumptions!$B$8</f>
        <v/>
      </c>
      <c r="C54" s="82">
        <f>E$17</f>
        <v/>
      </c>
      <c r="D54" s="56" t="n"/>
      <c r="E54" s="56" t="n"/>
      <c r="F54" s="56" t="n"/>
      <c r="G54" s="56" t="n"/>
    </row>
    <row r="55" ht="24" customHeight="1" s="215">
      <c r="A55" s="67">
        <f>Assumptions!$A$9</f>
        <v/>
      </c>
      <c r="B55" s="84">
        <f>Assumptions!$B$9</f>
        <v/>
      </c>
      <c r="C55" s="82">
        <f>F$17</f>
        <v/>
      </c>
      <c r="D55" s="56" t="n"/>
      <c r="E55" s="56" t="n"/>
      <c r="F55" s="56" t="n"/>
      <c r="G55" s="56" t="n"/>
    </row>
    <row r="56" ht="8" customHeight="1" s="215"/>
    <row r="57" ht="48" customHeight="1" s="215">
      <c r="A57" s="57" t="inlineStr">
        <is>
          <t>Between two anchors the multiple is read off a straight line. 4.5 and above all read the 90th percentile, so the last half point of score is worth nothing.</t>
        </is>
      </c>
      <c r="B57" s="57" t="n"/>
      <c r="C57" s="57" t="n"/>
      <c r="D57" s="57" t="n"/>
      <c r="E57" s="57" t="n"/>
      <c r="F57" s="57" t="n"/>
      <c r="G57" s="57" t="n"/>
    </row>
    <row r="58" ht="8" customHeight="1" s="215"/>
    <row r="59" ht="26" customHeight="1" s="215">
      <c r="A59" s="54" t="inlineStr">
        <is>
          <t>Fatal flaw gates</t>
        </is>
      </c>
      <c r="B59" s="54" t="n"/>
      <c r="C59" s="54" t="n"/>
      <c r="D59" s="54" t="n"/>
      <c r="E59" s="54" t="n"/>
      <c r="F59" s="54" t="n"/>
      <c r="G59" s="54" t="n"/>
    </row>
    <row r="60" ht="28" customHeight="1" s="215">
      <c r="A60" s="58" t="inlineStr">
        <is>
          <t>Question</t>
        </is>
      </c>
      <c r="B60" s="59" t="inlineStr">
        <is>
          <t>Driver</t>
        </is>
      </c>
      <c r="C60" s="59" t="inlineStr">
        <is>
          <t>Trips on this answer</t>
        </is>
      </c>
      <c r="D60" s="59" t="inlineStr">
        <is>
          <t>Now</t>
        </is>
      </c>
      <c r="E60" s="59" t="inlineStr">
        <is>
          <t>Future</t>
        </is>
      </c>
      <c r="F60" s="59" t="n"/>
      <c r="G60" s="59" t="n"/>
    </row>
    <row r="61" ht="30" customHeight="1" s="215">
      <c r="A61" s="55">
        <f>Questions!$A$4</f>
        <v/>
      </c>
      <c r="B61" s="81">
        <f>Questions!$Q$4</f>
        <v/>
      </c>
      <c r="C61" s="81">
        <f>IFERROR(INDEX(Questions!$AB:$AB,MATCH(Questions!$K$4&amp;"|"&amp;Questions!$R$4,Questions!$AF:$AF,0)),"")</f>
        <v/>
      </c>
      <c r="D61" s="61">
        <f>IF(Questions!$M$4=1,"TRIPPED","")</f>
        <v/>
      </c>
      <c r="E61" s="61">
        <f>IF(Questions!$N$4=1,"TRIPPED","")</f>
        <v/>
      </c>
      <c r="F61" s="56" t="n"/>
      <c r="G61" s="56" t="n"/>
    </row>
    <row r="62" ht="30" customHeight="1" s="215">
      <c r="A62" s="55">
        <f>Questions!$A$5</f>
        <v/>
      </c>
      <c r="B62" s="81">
        <f>Questions!$Q$5</f>
        <v/>
      </c>
      <c r="C62" s="81">
        <f>IFERROR(INDEX(Questions!$AB:$AB,MATCH(Questions!$K$5&amp;"|"&amp;Questions!$R$5,Questions!$AF:$AF,0)),"")</f>
        <v/>
      </c>
      <c r="D62" s="61">
        <f>IF(Questions!$M$5=1,"TRIPPED","")</f>
        <v/>
      </c>
      <c r="E62" s="61">
        <f>IF(Questions!$N$5=1,"TRIPPED","")</f>
        <v/>
      </c>
      <c r="F62" s="56" t="n"/>
      <c r="G62" s="56" t="n"/>
    </row>
    <row r="63" ht="45" customHeight="1" s="215">
      <c r="A63" s="55">
        <f>Questions!$A$6</f>
        <v/>
      </c>
      <c r="B63" s="81">
        <f>Questions!$Q$6</f>
        <v/>
      </c>
      <c r="C63" s="81">
        <f>IFERROR(INDEX(Questions!$AB:$AB,MATCH(Questions!$K$6&amp;"|"&amp;Questions!$R$6,Questions!$AF:$AF,0)),"")</f>
        <v/>
      </c>
      <c r="D63" s="61">
        <f>IF(Questions!$M$6=1,"TRIPPED","")</f>
        <v/>
      </c>
      <c r="E63" s="61">
        <f>IF(Questions!$N$6=1,"TRIPPED","")</f>
        <v/>
      </c>
      <c r="F63" s="56" t="n"/>
      <c r="G63" s="56" t="n"/>
    </row>
    <row r="64" ht="30" customHeight="1" s="215">
      <c r="A64" s="55">
        <f>Questions!$A$7</f>
        <v/>
      </c>
      <c r="B64" s="81">
        <f>Questions!$Q$7</f>
        <v/>
      </c>
      <c r="C64" s="81">
        <f>IFERROR(INDEX(Questions!$AB:$AB,MATCH(Questions!$K$7&amp;"|"&amp;Questions!$R$7,Questions!$AF:$AF,0)),"")</f>
        <v/>
      </c>
      <c r="D64" s="61">
        <f>IF(Questions!$M$7=1,"TRIPPED","")</f>
        <v/>
      </c>
      <c r="E64" s="61">
        <f>IF(Questions!$N$7=1,"TRIPPED","")</f>
        <v/>
      </c>
      <c r="F64" s="56" t="n"/>
      <c r="G64" s="56" t="n"/>
    </row>
    <row r="65" ht="30" customHeight="1" s="215">
      <c r="A65" s="55">
        <f>Questions!$A$10</f>
        <v/>
      </c>
      <c r="B65" s="81">
        <f>Questions!$Q$10</f>
        <v/>
      </c>
      <c r="C65" s="81">
        <f>IFERROR(INDEX(Questions!$AB:$AB,MATCH(Questions!$K$10&amp;"|"&amp;Questions!$R$10,Questions!$AF:$AF,0)),"")</f>
        <v/>
      </c>
      <c r="D65" s="61">
        <f>IF(Questions!$M$10=1,"TRIPPED","")</f>
        <v/>
      </c>
      <c r="E65" s="61">
        <f>IF(Questions!$N$10=1,"TRIPPED","")</f>
        <v/>
      </c>
      <c r="F65" s="56" t="n"/>
      <c r="G65" s="56" t="n"/>
    </row>
    <row r="66" ht="30" customHeight="1" s="215">
      <c r="A66" s="55">
        <f>Questions!$A$11</f>
        <v/>
      </c>
      <c r="B66" s="81">
        <f>Questions!$Q$11</f>
        <v/>
      </c>
      <c r="C66" s="81">
        <f>IFERROR(INDEX(Questions!$AB:$AB,MATCH(Questions!$K$11&amp;"|"&amp;Questions!$R$11,Questions!$AF:$AF,0)),"")</f>
        <v/>
      </c>
      <c r="D66" s="61">
        <f>IF(Questions!$M$11=1,"TRIPPED","")</f>
        <v/>
      </c>
      <c r="E66" s="61">
        <f>IF(Questions!$N$11=1,"TRIPPED","")</f>
        <v/>
      </c>
      <c r="F66" s="56" t="n"/>
      <c r="G66" s="56" t="n"/>
    </row>
    <row r="67" ht="30" customHeight="1" s="215">
      <c r="A67" s="55">
        <f>Questions!$A$18</f>
        <v/>
      </c>
      <c r="B67" s="81">
        <f>Questions!$Q$18</f>
        <v/>
      </c>
      <c r="C67" s="81">
        <f>IFERROR(INDEX(Questions!$AB:$AB,MATCH(Questions!$K$18&amp;"|"&amp;Questions!$R$18,Questions!$AF:$AF,0)),"")</f>
        <v/>
      </c>
      <c r="D67" s="61">
        <f>IF(Questions!$M$18=1,"TRIPPED","")</f>
        <v/>
      </c>
      <c r="E67" s="61">
        <f>IF(Questions!$N$18=1,"TRIPPED","")</f>
        <v/>
      </c>
      <c r="F67" s="56" t="n"/>
      <c r="G67" s="56" t="n"/>
    </row>
    <row r="68" ht="45" customHeight="1" s="215">
      <c r="A68" s="55">
        <f>Questions!$A$21</f>
        <v/>
      </c>
      <c r="B68" s="81">
        <f>Questions!$Q$21</f>
        <v/>
      </c>
      <c r="C68" s="81">
        <f>IFERROR(INDEX(Questions!$AB:$AB,MATCH(Questions!$K$21&amp;"|"&amp;Questions!$R$21,Questions!$AF:$AF,0)),"")</f>
        <v/>
      </c>
      <c r="D68" s="61">
        <f>IF(Questions!$M$21=1,"TRIPPED","")</f>
        <v/>
      </c>
      <c r="E68" s="61">
        <f>IF(Questions!$N$21=1,"TRIPPED","")</f>
        <v/>
      </c>
      <c r="F68" s="56" t="n"/>
      <c r="G68" s="56" t="n"/>
    </row>
    <row r="69" ht="45" customHeight="1" s="215">
      <c r="A69" s="55">
        <f>Questions!$A$27</f>
        <v/>
      </c>
      <c r="B69" s="81">
        <f>Questions!$Q$27</f>
        <v/>
      </c>
      <c r="C69" s="81">
        <f>IFERROR(INDEX(Questions!$AB:$AB,MATCH(Questions!$K$27&amp;"|"&amp;Questions!$R$27,Questions!$AF:$AF,0)),"")</f>
        <v/>
      </c>
      <c r="D69" s="61">
        <f>IF(Questions!$M$27=1,"TRIPPED","")</f>
        <v/>
      </c>
      <c r="E69" s="61">
        <f>IF(Questions!$N$27=1,"TRIPPED","")</f>
        <v/>
      </c>
      <c r="F69" s="56" t="n"/>
      <c r="G69" s="56" t="n"/>
    </row>
    <row r="70" ht="30" customHeight="1" s="215">
      <c r="A70" s="55">
        <f>Questions!$A$33</f>
        <v/>
      </c>
      <c r="B70" s="81">
        <f>Questions!$Q$33</f>
        <v/>
      </c>
      <c r="C70" s="81">
        <f>IFERROR(INDEX(Questions!$AB:$AB,MATCH(Questions!$K$33&amp;"|"&amp;Questions!$R$33,Questions!$AF:$AF,0)),"")</f>
        <v/>
      </c>
      <c r="D70" s="61">
        <f>IF(Questions!$M$33=1,"TRIPPED","")</f>
        <v/>
      </c>
      <c r="E70" s="61">
        <f>IF(Questions!$N$33=1,"TRIPPED","")</f>
        <v/>
      </c>
      <c r="F70" s="56" t="n"/>
      <c r="G70" s="56" t="n"/>
    </row>
    <row r="71" ht="60" customHeight="1" s="215">
      <c r="A71" s="55">
        <f>Questions!$A$34</f>
        <v/>
      </c>
      <c r="B71" s="81">
        <f>Questions!$Q$34</f>
        <v/>
      </c>
      <c r="C71" s="81">
        <f>IFERROR(INDEX(Questions!$AB:$AB,MATCH(Questions!$K$34&amp;"|"&amp;Questions!$R$34,Questions!$AF:$AF,0)),"")</f>
        <v/>
      </c>
      <c r="D71" s="61">
        <f>IF(Questions!$M$34=1,"TRIPPED","")</f>
        <v/>
      </c>
      <c r="E71" s="61">
        <f>IF(Questions!$N$34=1,"TRIPPED","")</f>
        <v/>
      </c>
      <c r="F71" s="56" t="n"/>
      <c r="G71" s="56" t="n"/>
    </row>
    <row r="72" ht="8" customHeight="1" s="215"/>
    <row r="73" ht="26" customHeight="1" s="215">
      <c r="A73" s="54" t="inlineStr">
        <is>
          <t>What the deal-killers cost</t>
        </is>
      </c>
      <c r="B73" s="54" t="n"/>
      <c r="C73" s="54" t="n"/>
      <c r="D73" s="54" t="n"/>
      <c r="E73" s="54" t="n"/>
      <c r="F73" s="54" t="n"/>
      <c r="G73" s="54" t="n"/>
    </row>
    <row r="74" ht="28" customHeight="1" s="215">
      <c r="A74" s="58" t="inlineStr">
        <is>
          <t>Deal-killer</t>
        </is>
      </c>
      <c r="B74" s="59" t="inlineStr">
        <is>
          <t>Haircut</t>
        </is>
      </c>
      <c r="C74" s="59" t="inlineStr">
        <is>
          <t>Tripped now</t>
        </is>
      </c>
      <c r="D74" s="59" t="inlineStr">
        <is>
          <t>Multiple after it</t>
        </is>
      </c>
      <c r="E74" s="59" t="n"/>
      <c r="F74" s="59" t="n"/>
      <c r="G74" s="59" t="n"/>
    </row>
    <row r="75" ht="24" customHeight="1" s="215">
      <c r="A75" s="68">
        <f>Questions!$A$4</f>
        <v/>
      </c>
      <c r="B75" s="85">
        <f>N(Questions!$Z$4)</f>
        <v/>
      </c>
      <c r="C75" s="85">
        <f>IF(Questions!$M$4=1,"TRIPPED","")</f>
        <v/>
      </c>
      <c r="D75" s="196">
        <f>IFERROR($B$26*(1-N(Questions!$Z$4)),"")</f>
        <v/>
      </c>
      <c r="E75" s="56" t="n"/>
      <c r="F75" s="56" t="n"/>
      <c r="G75" s="56" t="n"/>
    </row>
    <row r="76" ht="24" customHeight="1" s="215">
      <c r="A76" s="68">
        <f>Questions!$A$5</f>
        <v/>
      </c>
      <c r="B76" s="85">
        <f>N(Questions!$Z$5)</f>
        <v/>
      </c>
      <c r="C76" s="85">
        <f>IF(Questions!$M$5=1,"TRIPPED","")</f>
        <v/>
      </c>
      <c r="D76" s="196">
        <f>IFERROR($B$26*(1-N(Questions!$Z$5)),"")</f>
        <v/>
      </c>
      <c r="E76" s="56" t="n"/>
      <c r="F76" s="56" t="n"/>
      <c r="G76" s="56" t="n"/>
    </row>
    <row r="77" ht="24" customHeight="1" s="215">
      <c r="A77" s="68">
        <f>Questions!$A$6</f>
        <v/>
      </c>
      <c r="B77" s="85">
        <f>N(Questions!$Z$6)</f>
        <v/>
      </c>
      <c r="C77" s="85">
        <f>IF(Questions!$M$6=1,"TRIPPED","")</f>
        <v/>
      </c>
      <c r="D77" s="196">
        <f>IFERROR($B$26*(1-N(Questions!$Z$6)),"")</f>
        <v/>
      </c>
      <c r="E77" s="56" t="n"/>
      <c r="F77" s="56" t="n"/>
      <c r="G77" s="56" t="n"/>
    </row>
    <row r="78" ht="24" customHeight="1" s="215">
      <c r="A78" s="68">
        <f>Questions!$A$7</f>
        <v/>
      </c>
      <c r="B78" s="85">
        <f>N(Questions!$Z$7)</f>
        <v/>
      </c>
      <c r="C78" s="85">
        <f>IF(Questions!$M$7=1,"TRIPPED","")</f>
        <v/>
      </c>
      <c r="D78" s="196">
        <f>IFERROR($B$26*(1-N(Questions!$Z$7)),"")</f>
        <v/>
      </c>
      <c r="E78" s="56" t="n"/>
      <c r="F78" s="56" t="n"/>
      <c r="G78" s="56" t="n"/>
    </row>
    <row r="79" ht="24" customHeight="1" s="215">
      <c r="A79" s="68">
        <f>Questions!$A$10</f>
        <v/>
      </c>
      <c r="B79" s="85">
        <f>N(Questions!$Z$10)</f>
        <v/>
      </c>
      <c r="C79" s="85">
        <f>IF(Questions!$M$10=1,"TRIPPED","")</f>
        <v/>
      </c>
      <c r="D79" s="196">
        <f>IFERROR($B$26*(1-N(Questions!$Z$10)),"")</f>
        <v/>
      </c>
      <c r="E79" s="56" t="n"/>
      <c r="F79" s="56" t="n"/>
      <c r="G79" s="56" t="n"/>
    </row>
    <row r="80" ht="8" customHeight="1" s="215">
      <c r="B80" s="5" t="n"/>
      <c r="D80" s="8" t="n"/>
    </row>
    <row r="81" ht="48" customHeight="1" s="215">
      <c r="A81" s="57" t="n"/>
      <c r="B81" s="197" t="n"/>
      <c r="C81" s="57" t="n"/>
      <c r="D81" s="198" t="n"/>
      <c r="E81" s="57" t="n"/>
      <c r="F81" s="57" t="n"/>
      <c r="G81" s="57" t="n"/>
    </row>
    <row r="82" ht="8" customHeight="1" s="215">
      <c r="B82" s="5" t="n"/>
      <c r="D82" s="8" t="n"/>
    </row>
    <row r="83" ht="26" customHeight="1" s="215">
      <c r="A83" s="54" t="n"/>
      <c r="B83" s="199" t="n"/>
      <c r="C83" s="54" t="n"/>
      <c r="D83" s="200" t="n"/>
      <c r="E83" s="54" t="n"/>
      <c r="F83" s="54" t="n"/>
      <c r="G83" s="54" t="n"/>
    </row>
    <row r="84" ht="28" customHeight="1" s="215">
      <c r="A84" s="58" t="n"/>
      <c r="B84" s="201" t="n"/>
      <c r="C84" s="59" t="n"/>
      <c r="D84" s="202" t="n"/>
      <c r="E84" s="59" t="n"/>
      <c r="F84" s="59" t="n"/>
      <c r="G84" s="59" t="n"/>
    </row>
    <row r="85" ht="24" customHeight="1" s="215">
      <c r="A85" s="69" t="n"/>
      <c r="B85" s="85" t="n"/>
      <c r="C85" s="85" t="n"/>
      <c r="D85" s="196" t="n"/>
      <c r="E85" s="56" t="n"/>
      <c r="F85" s="56" t="n"/>
      <c r="G85" s="56" t="n"/>
    </row>
    <row r="86" ht="24" customHeight="1" s="215">
      <c r="A86" s="69">
        <f>"This business trips "&amp;$B$23&amp;" deal-killer(s). The percentile stays at "&amp;TEXT($B$24,"0")&amp;". Together they take "&amp;TEXT(IFERROR($B$27/$B$26,0),"0%")&amp;" off, from "&amp;TEXT($B$26,"0.00")&amp;"x to "&amp;TEXT($B$28,"0.00")&amp;"x. Each one takes its share of what is left, so the order makes no difference."</f>
        <v/>
      </c>
      <c r="B86" s="81">
        <f>Assumptions!$B$22</f>
        <v/>
      </c>
      <c r="C86" s="85">
        <f>Assumptions!$C$22</f>
        <v/>
      </c>
      <c r="D86" s="56" t="n"/>
      <c r="E86" s="56" t="n"/>
      <c r="F86" s="56" t="n"/>
      <c r="G86" s="56" t="n"/>
    </row>
    <row r="87" ht="24" customHeight="1" s="215">
      <c r="A87" s="69">
        <f>Assumptions!$A$23</f>
        <v/>
      </c>
      <c r="B87" s="81">
        <f>Assumptions!$B$23</f>
        <v/>
      </c>
      <c r="C87" s="85">
        <f>Assumptions!$C$23</f>
        <v/>
      </c>
      <c r="D87" s="56" t="n"/>
      <c r="E87" s="56" t="n"/>
      <c r="F87" s="56" t="n"/>
      <c r="G87" s="56" t="n"/>
    </row>
    <row r="88" ht="24" customHeight="1" s="215">
      <c r="A88" s="69">
        <f>Assumptions!$A$24</f>
        <v/>
      </c>
      <c r="B88" s="81">
        <f>Assumptions!$B$24</f>
        <v/>
      </c>
      <c r="C88" s="85">
        <f>Assumptions!$C$24</f>
        <v/>
      </c>
      <c r="D88" s="56" t="n"/>
      <c r="E88" s="56" t="n"/>
      <c r="F88" s="56" t="n"/>
      <c r="G88" s="56" t="n"/>
    </row>
    <row r="89" ht="24" customHeight="1" s="215">
      <c r="A89" s="69">
        <f>Assumptions!$A$25</f>
        <v/>
      </c>
      <c r="B89" s="81">
        <f>Assumptions!$B$25</f>
        <v/>
      </c>
      <c r="C89" s="85">
        <f>Assumptions!$C$25</f>
        <v/>
      </c>
      <c r="D89" s="56" t="n"/>
      <c r="E89" s="56" t="n"/>
      <c r="F89" s="56" t="n"/>
      <c r="G89" s="56" t="n"/>
    </row>
    <row r="90" ht="8" customHeight="1" s="215"/>
    <row r="91" ht="26" customHeight="1" s="215">
      <c r="A91" s="54" t="inlineStr">
        <is>
          <t>How the Size Curve backup works</t>
        </is>
      </c>
      <c r="B91" s="54" t="n"/>
      <c r="C91" s="54" t="n"/>
      <c r="D91" s="54" t="n"/>
      <c r="E91" s="54" t="n"/>
      <c r="F91" s="54" t="n"/>
      <c r="G91" s="54" t="n"/>
    </row>
    <row r="92" ht="34" customHeight="1" s="215">
      <c r="A92" s="54" t="inlineStr">
        <is>
          <t>Step 1 - the band gives you the numbers</t>
        </is>
      </c>
      <c r="B92" s="54" t="n"/>
      <c r="C92" s="54" t="n"/>
      <c r="D92" s="54" t="n"/>
      <c r="E92" s="54" t="n"/>
      <c r="F92" s="54" t="n"/>
      <c r="G92" s="54" t="n"/>
    </row>
    <row r="93" ht="70" customHeight="1" s="215">
      <c r="A93" s="57" t="inlineStr">
        <is>
          <t>The earnings being valued pick one of the fourteen profit bands. That band's 10th percentile, median, 75th and 90th are read straight off the Size Curve. Nothing is calculated. Those are real multiples from hundreds of recorded deals, already matched to the size of the business.</t>
        </is>
      </c>
      <c r="B93" s="57" t="n"/>
      <c r="C93" s="57" t="n"/>
      <c r="D93" s="57" t="n"/>
      <c r="E93" s="57" t="n"/>
      <c r="F93" s="57" t="n"/>
      <c r="G93" s="57" t="n"/>
    </row>
    <row r="94" ht="34" customHeight="1" s="215">
      <c r="A94" s="54" t="inlineStr">
        <is>
          <t>Step 2 - one small percentage for the industry</t>
        </is>
      </c>
      <c r="B94" s="54" t="n"/>
      <c r="C94" s="54" t="n"/>
      <c r="D94" s="54" t="n"/>
      <c r="E94" s="54" t="n"/>
      <c r="F94" s="54" t="n"/>
      <c r="G94" s="54" t="n"/>
    </row>
    <row r="95" ht="70" customHeight="1" s="215">
      <c r="A95" s="57" t="inlineStr">
        <is>
          <t>The industry's median is divided by the all-industry median, both measured across ALL deal sizes so they are the same kind of thing. Marketing at 3.50x against 3.715x gives 0.942 - it sells about 6% below the general norm. One number, and it can go either way.</t>
        </is>
      </c>
      <c r="B95" s="57" t="n"/>
      <c r="C95" s="57" t="n"/>
      <c r="D95" s="57" t="n"/>
      <c r="E95" s="57" t="n"/>
      <c r="F95" s="57" t="n"/>
      <c r="G95" s="57" t="n"/>
    </row>
    <row r="96" ht="26" customHeight="1" s="215">
      <c r="A96" s="54" t="inlineStr">
        <is>
          <t>Step 3 - apply it to every anchor</t>
        </is>
      </c>
      <c r="B96" s="54" t="n"/>
      <c r="C96" s="54" t="n"/>
      <c r="D96" s="54" t="n"/>
      <c r="E96" s="54" t="n"/>
      <c r="F96" s="54" t="n"/>
      <c r="G96" s="54" t="n"/>
    </row>
    <row r="97" ht="70" customHeight="1" s="215">
      <c r="A97" s="57" t="inlineStr">
        <is>
          <t>Each band figure is multiplied by that percentage. 2.10 / 3.90 / 5.50 / 8.90 becomes 1.98 / 3.67 / 5.18 / 8.38. Every anchor moves by the same 6%, so the distance between the bottom and the top is unchanged. Score 1 stays a flat 0.5x, untouched.</t>
        </is>
      </c>
      <c r="B97" s="57" t="n"/>
      <c r="C97" s="57" t="n"/>
      <c r="D97" s="57" t="n"/>
      <c r="E97" s="57" t="n"/>
      <c r="F97" s="57" t="n"/>
      <c r="G97" s="57" t="n"/>
    </row>
    <row r="98" ht="26" customHeight="1" s="215">
      <c r="A98" s="54" t="inlineStr">
        <is>
          <t>The one condition</t>
        </is>
      </c>
      <c r="B98" s="54" t="n"/>
      <c r="C98" s="54" t="n"/>
      <c r="D98" s="54" t="n"/>
      <c r="E98" s="54" t="n"/>
      <c r="F98" s="54" t="n"/>
      <c r="G98" s="54" t="n"/>
    </row>
    <row r="99" ht="84" customHeight="1" s="215">
      <c r="A99" s="57" t="inlineStr">
        <is>
          <t>The industry pull used in step 2 must be an ALL-SIZES pull. A pull already filtered to a revenue band is not comparable to the all-industry median and produces a wild adjustment - that is what the allowed range on Assumptions catches. When a pull is revenue-matched it is the primary source and this backup is switched off.</t>
        </is>
      </c>
      <c r="B99" s="57" t="n"/>
      <c r="C99" s="57" t="n"/>
      <c r="D99" s="57" t="n"/>
      <c r="E99" s="57" t="n"/>
      <c r="F99" s="57" t="n"/>
      <c r="G99" s="57" t="n"/>
    </row>
    <row r="100" ht="24" customHeight="1" s="215">
      <c r="A100" s="121" t="inlineStr">
        <is>
          <t>Regional risk discount</t>
        </is>
      </c>
      <c r="B100" s="122">
        <f>IF(Intake!$D$24="Remove",0,IFERROR(INDEX(Assumptions!$B$42:$B$44,MATCH(Intake!$D$11,Assumptions!$A$42:$A$44,0)),0))</f>
        <v/>
      </c>
      <c r="C100" s="122">
        <f>$B$100</f>
        <v/>
      </c>
    </row>
    <row r="101" ht="24" customHeight="1" s="215">
      <c r="A101" s="121" t="inlineStr">
        <is>
          <t>Multiple before the regional discount</t>
        </is>
      </c>
      <c r="B101" s="123">
        <f>MAX(B28,B29)</f>
        <v/>
      </c>
      <c r="C101" s="123">
        <f>MAX(C28,C29)</f>
        <v/>
      </c>
    </row>
    <row r="102"/>
    <row r="103"/>
    <row r="104" ht="26" customHeight="1" s="215">
      <c r="A104" s="72" t="inlineStr">
        <is>
          <t>Sellability and Value weights</t>
        </is>
      </c>
      <c r="B104" s="88" t="n"/>
      <c r="C104" s="88" t="n"/>
      <c r="D104" s="73" t="n"/>
      <c r="E104" s="73" t="n"/>
      <c r="F104" s="73" t="n"/>
      <c r="G104" s="73" t="n"/>
      <c r="H104" s="73" t="n"/>
      <c r="I104" s="73" t="n"/>
    </row>
    <row r="105" ht="30" customHeight="1" s="215">
      <c r="A105" s="269" t="inlineStr">
        <is>
          <t>Two scores from the same 27 answers. SELL drives the sellability tier and the probability of sale. VALUE drives the percentile and the multiple. Change only the orange cells. High impact = 1.00 | Moderate impact = 0.50 | Low impact = 0.25 | No impact = 0.</t>
        </is>
      </c>
    </row>
    <row r="106" ht="30" customHeight="1" s="215">
      <c r="A106" s="74" t="inlineStr">
        <is>
          <t>Questions row</t>
        </is>
      </c>
      <c r="B106" s="75" t="inlineStr">
        <is>
          <t>Question</t>
        </is>
      </c>
      <c r="C106" s="74" t="inlineStr">
        <is>
          <t>Deal-killer</t>
        </is>
      </c>
      <c r="D106" s="74" t="inlineStr">
        <is>
          <t>SELL</t>
        </is>
      </c>
      <c r="E106" s="74" t="inlineStr">
        <is>
          <t>VALUE</t>
        </is>
      </c>
      <c r="F106" s="74" t="inlineStr">
        <is>
          <t>Sell weight</t>
        </is>
      </c>
      <c r="G106" s="74" t="inlineStr">
        <is>
          <t>Value weight</t>
        </is>
      </c>
      <c r="H106" s="74" t="inlineStr">
        <is>
          <t>Score now</t>
        </is>
      </c>
      <c r="I106" s="74" t="inlineStr">
        <is>
          <t>Score future</t>
        </is>
      </c>
      <c r="V106" t="inlineStr">
        <is>
          <t>Driver</t>
        </is>
      </c>
    </row>
    <row r="107" ht="26" customHeight="1" s="215">
      <c r="A107" s="143">
        <f>IFERROR(MATCH($U107,Questions!$K:$K,0),"")</f>
        <v/>
      </c>
      <c r="B107" s="144">
        <f>IFERROR(INDEX(Questions!$A:$A,$A107),"")</f>
        <v/>
      </c>
      <c r="C107" s="145">
        <f>IF(IFERROR(INDEX(Questions!$L:$L,$A107),"")="GATE","Yes","")</f>
        <v/>
      </c>
      <c r="D107" s="146" t="inlineStr">
        <is>
          <t>High impact</t>
        </is>
      </c>
      <c r="E107" s="146" t="inlineStr">
        <is>
          <t>High impact</t>
        </is>
      </c>
      <c r="F107" s="147">
        <f>IFERROR($K107/$K$134,"")</f>
        <v/>
      </c>
      <c r="G107" s="147">
        <f>IFERROR($L107/$L$134,"")</f>
        <v/>
      </c>
      <c r="H107" s="148">
        <f>IFERROR(INDEX(Questions!$O:$O,$A107),"")</f>
        <v/>
      </c>
      <c r="I107" s="148">
        <f>IFERROR(INDEX(Questions!$P:$P,$A107),"")</f>
        <v/>
      </c>
      <c r="J107" s="261" t="n"/>
      <c r="K107" s="261">
        <f>IF($D107="High impact",1,IF($D107="Moderate impact",0.5,IF($D107="Low impact",0.25,0)))</f>
        <v/>
      </c>
      <c r="L107" s="261">
        <f>IF($E107="High impact",1,IF($E107="Moderate impact",0.5,IF($E107="Low impact",0.25,0)))</f>
        <v/>
      </c>
      <c r="M107" s="261">
        <f>IF($H107="",0,$K107*$H107)</f>
        <v/>
      </c>
      <c r="N107" s="261">
        <f>IF($H107="",0,$K107)</f>
        <v/>
      </c>
      <c r="O107" s="261">
        <f>IF($H107="",0,$L107*$H107)</f>
        <v/>
      </c>
      <c r="P107" s="261">
        <f>IF($H107="",0,$L107)</f>
        <v/>
      </c>
      <c r="Q107" s="261">
        <f>IF($I107="",0,$K107*$I107)</f>
        <v/>
      </c>
      <c r="R107" s="261">
        <f>IF($I107="",0,$K107)</f>
        <v/>
      </c>
      <c r="S107" s="261">
        <f>IF($I107="",0,$L107*$I107)</f>
        <v/>
      </c>
      <c r="T107" s="261">
        <f>IF($I107="",0,$L107)</f>
        <v/>
      </c>
      <c r="U107" s="261" t="inlineStr">
        <is>
          <t>SV147</t>
        </is>
      </c>
      <c r="V107" s="261">
        <f>IFERROR(INDEX(Questions!$Q:$Q,$A107),"")</f>
        <v/>
      </c>
    </row>
    <row r="108" ht="26" customHeight="1" s="215">
      <c r="A108" s="143">
        <f>IFERROR(MATCH($U108,Questions!$K:$K,0),"")</f>
        <v/>
      </c>
      <c r="B108" s="144">
        <f>IFERROR(INDEX(Questions!$A:$A,$A108),"")</f>
        <v/>
      </c>
      <c r="C108" s="145">
        <f>IF(IFERROR(INDEX(Questions!$L:$L,$A108),"")="GATE","Yes","")</f>
        <v/>
      </c>
      <c r="D108" s="146" t="inlineStr">
        <is>
          <t>High impact</t>
        </is>
      </c>
      <c r="E108" s="146" t="inlineStr">
        <is>
          <t>Moderate impact</t>
        </is>
      </c>
      <c r="F108" s="147">
        <f>IFERROR($K108/$K$134,"")</f>
        <v/>
      </c>
      <c r="G108" s="147">
        <f>IFERROR($L108/$L$134,"")</f>
        <v/>
      </c>
      <c r="H108" s="148">
        <f>IFERROR(INDEX(Questions!$O:$O,$A108),"")</f>
        <v/>
      </c>
      <c r="I108" s="148">
        <f>IFERROR(INDEX(Questions!$P:$P,$A108),"")</f>
        <v/>
      </c>
      <c r="J108" s="261" t="n"/>
      <c r="K108" s="261">
        <f>IF($D108="High impact",1,IF($D108="Moderate impact",0.5,IF($D108="Low impact",0.25,0)))</f>
        <v/>
      </c>
      <c r="L108" s="261">
        <f>IF($E108="High impact",1,IF($E108="Moderate impact",0.5,IF($E108="Low impact",0.25,0)))</f>
        <v/>
      </c>
      <c r="M108" s="261">
        <f>IF($H108="",0,$K108*$H108)</f>
        <v/>
      </c>
      <c r="N108" s="261">
        <f>IF($H108="",0,$K108)</f>
        <v/>
      </c>
      <c r="O108" s="261">
        <f>IF($H108="",0,$L108*$H108)</f>
        <v/>
      </c>
      <c r="P108" s="261">
        <f>IF($H108="",0,$L108)</f>
        <v/>
      </c>
      <c r="Q108" s="261">
        <f>IF($I108="",0,$K108*$I108)</f>
        <v/>
      </c>
      <c r="R108" s="261">
        <f>IF($I108="",0,$K108)</f>
        <v/>
      </c>
      <c r="S108" s="261">
        <f>IF($I108="",0,$L108*$I108)</f>
        <v/>
      </c>
      <c r="T108" s="261">
        <f>IF($I108="",0,$L108)</f>
        <v/>
      </c>
      <c r="U108" s="261" t="inlineStr">
        <is>
          <t>Q5</t>
        </is>
      </c>
      <c r="V108" s="261">
        <f>IFERROR(INDEX(Questions!$Q:$Q,$A108),"")</f>
        <v/>
      </c>
    </row>
    <row r="109" ht="26" customHeight="1" s="215">
      <c r="A109" s="143">
        <f>IFERROR(MATCH($U109,Questions!$K:$K,0),"")</f>
        <v/>
      </c>
      <c r="B109" s="144">
        <f>IFERROR(INDEX(Questions!$A:$A,$A109),"")</f>
        <v/>
      </c>
      <c r="C109" s="145">
        <f>IF(IFERROR(INDEX(Questions!$L:$L,$A109),"")="GATE","Yes","")</f>
        <v/>
      </c>
      <c r="D109" s="146" t="inlineStr">
        <is>
          <t>High impact</t>
        </is>
      </c>
      <c r="E109" s="146" t="inlineStr">
        <is>
          <t>Moderate impact</t>
        </is>
      </c>
      <c r="F109" s="147">
        <f>IFERROR($K109/$K$134,"")</f>
        <v/>
      </c>
      <c r="G109" s="147">
        <f>IFERROR($L109/$L$134,"")</f>
        <v/>
      </c>
      <c r="H109" s="148">
        <f>IFERROR(INDEX(Questions!$O:$O,$A109),"")</f>
        <v/>
      </c>
      <c r="I109" s="148">
        <f>IFERROR(INDEX(Questions!$P:$P,$A109),"")</f>
        <v/>
      </c>
      <c r="J109" s="261" t="n"/>
      <c r="K109" s="261">
        <f>IF($D109="High impact",1,IF($D109="Moderate impact",0.5,IF($D109="Low impact",0.25,0)))</f>
        <v/>
      </c>
      <c r="L109" s="261">
        <f>IF($E109="High impact",1,IF($E109="Moderate impact",0.5,IF($E109="Low impact",0.25,0)))</f>
        <v/>
      </c>
      <c r="M109" s="261">
        <f>IF($H109="",0,$K109*$H109)</f>
        <v/>
      </c>
      <c r="N109" s="261">
        <f>IF($H109="",0,$K109)</f>
        <v/>
      </c>
      <c r="O109" s="261">
        <f>IF($H109="",0,$L109*$H109)</f>
        <v/>
      </c>
      <c r="P109" s="261">
        <f>IF($H109="",0,$L109)</f>
        <v/>
      </c>
      <c r="Q109" s="261">
        <f>IF($I109="",0,$K109*$I109)</f>
        <v/>
      </c>
      <c r="R109" s="261">
        <f>IF($I109="",0,$K109)</f>
        <v/>
      </c>
      <c r="S109" s="261">
        <f>IF($I109="",0,$L109*$I109)</f>
        <v/>
      </c>
      <c r="T109" s="261">
        <f>IF($I109="",0,$L109)</f>
        <v/>
      </c>
      <c r="U109" s="261" t="inlineStr">
        <is>
          <t>N2</t>
        </is>
      </c>
      <c r="V109" s="261">
        <f>IFERROR(INDEX(Questions!$Q:$Q,$A109),"")</f>
        <v/>
      </c>
    </row>
    <row r="110" ht="26" customHeight="1" s="215">
      <c r="A110" s="143">
        <f>IFERROR(MATCH($U110,Questions!$K:$K,0),"")</f>
        <v/>
      </c>
      <c r="B110" s="144">
        <f>IFERROR(INDEX(Questions!$A:$A,$A110),"")</f>
        <v/>
      </c>
      <c r="C110" s="145">
        <f>IF(IFERROR(INDEX(Questions!$L:$L,$A110),"")="GATE","Yes","")</f>
        <v/>
      </c>
      <c r="D110" s="146" t="inlineStr">
        <is>
          <t>High impact</t>
        </is>
      </c>
      <c r="E110" s="146" t="inlineStr">
        <is>
          <t>Low impact</t>
        </is>
      </c>
      <c r="F110" s="147">
        <f>IFERROR($K110/$K$134,"")</f>
        <v/>
      </c>
      <c r="G110" s="147">
        <f>IFERROR($L110/$L$134,"")</f>
        <v/>
      </c>
      <c r="H110" s="148">
        <f>IFERROR(INDEX(Questions!$O:$O,$A110),"")</f>
        <v/>
      </c>
      <c r="I110" s="148">
        <f>IFERROR(INDEX(Questions!$P:$P,$A110),"")</f>
        <v/>
      </c>
      <c r="J110" s="261" t="n"/>
      <c r="K110" s="261">
        <f>IF($D110="High impact",1,IF($D110="Moderate impact",0.5,IF($D110="Low impact",0.25,0)))</f>
        <v/>
      </c>
      <c r="L110" s="261">
        <f>IF($E110="High impact",1,IF($E110="Moderate impact",0.5,IF($E110="Low impact",0.25,0)))</f>
        <v/>
      </c>
      <c r="M110" s="261">
        <f>IF($H110="",0,$K110*$H110)</f>
        <v/>
      </c>
      <c r="N110" s="261">
        <f>IF($H110="",0,$K110)</f>
        <v/>
      </c>
      <c r="O110" s="261">
        <f>IF($H110="",0,$L110*$H110)</f>
        <v/>
      </c>
      <c r="P110" s="261">
        <f>IF($H110="",0,$L110)</f>
        <v/>
      </c>
      <c r="Q110" s="261">
        <f>IF($I110="",0,$K110*$I110)</f>
        <v/>
      </c>
      <c r="R110" s="261">
        <f>IF($I110="",0,$K110)</f>
        <v/>
      </c>
      <c r="S110" s="261">
        <f>IF($I110="",0,$L110*$I110)</f>
        <v/>
      </c>
      <c r="T110" s="261">
        <f>IF($I110="",0,$L110)</f>
        <v/>
      </c>
      <c r="U110" s="261" t="inlineStr">
        <is>
          <t>R9</t>
        </is>
      </c>
      <c r="V110" s="261">
        <f>IFERROR(INDEX(Questions!$Q:$Q,$A110),"")</f>
        <v/>
      </c>
    </row>
    <row r="111" ht="26" customHeight="1" s="215">
      <c r="A111" s="143">
        <f>IFERROR(MATCH($U111,Questions!$K:$K,0),"")</f>
        <v/>
      </c>
      <c r="B111" s="144">
        <f>IFERROR(INDEX(Questions!$A:$A,$A111),"")</f>
        <v/>
      </c>
      <c r="C111" s="145">
        <f>IF(IFERROR(INDEX(Questions!$L:$L,$A111),"")="GATE","Yes","")</f>
        <v/>
      </c>
      <c r="D111" s="146" t="inlineStr">
        <is>
          <t>High impact</t>
        </is>
      </c>
      <c r="E111" s="146" t="inlineStr">
        <is>
          <t>Low impact</t>
        </is>
      </c>
      <c r="F111" s="147">
        <f>IFERROR($K111/$K$134,"")</f>
        <v/>
      </c>
      <c r="G111" s="147">
        <f>IFERROR($L111/$L$134,"")</f>
        <v/>
      </c>
      <c r="H111" s="148">
        <f>IFERROR(INDEX(Questions!$O:$O,$A111),"")</f>
        <v/>
      </c>
      <c r="I111" s="148">
        <f>IFERROR(INDEX(Questions!$P:$P,$A111),"")</f>
        <v/>
      </c>
      <c r="J111" s="261" t="n"/>
      <c r="K111" s="261">
        <f>IF($D111="High impact",1,IF($D111="Moderate impact",0.5,IF($D111="Low impact",0.25,0)))</f>
        <v/>
      </c>
      <c r="L111" s="261">
        <f>IF($E111="High impact",1,IF($E111="Moderate impact",0.5,IF($E111="Low impact",0.25,0)))</f>
        <v/>
      </c>
      <c r="M111" s="261">
        <f>IF($H111="",0,$K111*$H111)</f>
        <v/>
      </c>
      <c r="N111" s="261">
        <f>IF($H111="",0,$K111)</f>
        <v/>
      </c>
      <c r="O111" s="261">
        <f>IF($H111="",0,$L111*$H111)</f>
        <v/>
      </c>
      <c r="P111" s="261">
        <f>IF($H111="",0,$L111)</f>
        <v/>
      </c>
      <c r="Q111" s="261">
        <f>IF($I111="",0,$K111*$I111)</f>
        <v/>
      </c>
      <c r="R111" s="261">
        <f>IF($I111="",0,$K111)</f>
        <v/>
      </c>
      <c r="S111" s="261">
        <f>IF($I111="",0,$L111*$I111)</f>
        <v/>
      </c>
      <c r="T111" s="261">
        <f>IF($I111="",0,$L111)</f>
        <v/>
      </c>
      <c r="U111" s="261" t="inlineStr">
        <is>
          <t>SV4</t>
        </is>
      </c>
      <c r="V111" s="261">
        <f>IFERROR(INDEX(Questions!$Q:$Q,$A111),"")</f>
        <v/>
      </c>
    </row>
    <row r="112" ht="26" customHeight="1" s="215">
      <c r="A112" s="143">
        <f>IFERROR(MATCH($U112,Questions!$K:$K,0),"")</f>
        <v/>
      </c>
      <c r="B112" s="144">
        <f>IFERROR(INDEX(Questions!$A:$A,$A112),"")</f>
        <v/>
      </c>
      <c r="C112" s="145">
        <f>IF(IFERROR(INDEX(Questions!$L:$L,$A112),"")="GATE","Yes","")</f>
        <v/>
      </c>
      <c r="D112" s="146" t="inlineStr">
        <is>
          <t>High impact</t>
        </is>
      </c>
      <c r="E112" s="146" t="inlineStr">
        <is>
          <t>Low impact</t>
        </is>
      </c>
      <c r="F112" s="147">
        <f>IFERROR($K112/$K$134,"")</f>
        <v/>
      </c>
      <c r="G112" s="147">
        <f>IFERROR($L112/$L$134,"")</f>
        <v/>
      </c>
      <c r="H112" s="148">
        <f>IFERROR(INDEX(Questions!$O:$O,$A112),"")</f>
        <v/>
      </c>
      <c r="I112" s="148">
        <f>IFERROR(INDEX(Questions!$P:$P,$A112),"")</f>
        <v/>
      </c>
      <c r="J112" s="261" t="n"/>
      <c r="K112" s="261">
        <f>IF($D112="High impact",1,IF($D112="Moderate impact",0.5,IF($D112="Low impact",0.25,0)))</f>
        <v/>
      </c>
      <c r="L112" s="261">
        <f>IF($E112="High impact",1,IF($E112="Moderate impact",0.5,IF($E112="Low impact",0.25,0)))</f>
        <v/>
      </c>
      <c r="M112" s="261">
        <f>IF($H112="",0,$K112*$H112)</f>
        <v/>
      </c>
      <c r="N112" s="261">
        <f>IF($H112="",0,$K112)</f>
        <v/>
      </c>
      <c r="O112" s="261">
        <f>IF($H112="",0,$L112*$H112)</f>
        <v/>
      </c>
      <c r="P112" s="261">
        <f>IF($H112="",0,$L112)</f>
        <v/>
      </c>
      <c r="Q112" s="261">
        <f>IF($I112="",0,$K112*$I112)</f>
        <v/>
      </c>
      <c r="R112" s="261">
        <f>IF($I112="",0,$K112)</f>
        <v/>
      </c>
      <c r="S112" s="261">
        <f>IF($I112="",0,$L112*$I112)</f>
        <v/>
      </c>
      <c r="T112" s="261">
        <f>IF($I112="",0,$L112)</f>
        <v/>
      </c>
      <c r="U112" s="261" t="inlineStr">
        <is>
          <t>N3</t>
        </is>
      </c>
      <c r="V112" s="261">
        <f>IFERROR(INDEX(Questions!$Q:$Q,$A112),"")</f>
        <v/>
      </c>
    </row>
    <row r="113" ht="26" customHeight="1" s="215">
      <c r="A113" s="143">
        <f>IFERROR(MATCH($U113,Questions!$K:$K,0),"")</f>
        <v/>
      </c>
      <c r="B113" s="144">
        <f>IFERROR(INDEX(Questions!$A:$A,$A113),"")</f>
        <v/>
      </c>
      <c r="C113" s="145">
        <f>IF(IFERROR(INDEX(Questions!$L:$L,$A113),"")="GATE","Yes","")</f>
        <v/>
      </c>
      <c r="D113" s="146" t="inlineStr">
        <is>
          <t>Low impact</t>
        </is>
      </c>
      <c r="E113" s="146" t="inlineStr">
        <is>
          <t>High impact</t>
        </is>
      </c>
      <c r="F113" s="147">
        <f>IFERROR($K113/$K$134,"")</f>
        <v/>
      </c>
      <c r="G113" s="147">
        <f>IFERROR($L113/$L$134,"")</f>
        <v/>
      </c>
      <c r="H113" s="148">
        <f>IFERROR(INDEX(Questions!$O:$O,$A113),"")</f>
        <v/>
      </c>
      <c r="I113" s="148">
        <f>IFERROR(INDEX(Questions!$P:$P,$A113),"")</f>
        <v/>
      </c>
      <c r="J113" s="261" t="n"/>
      <c r="K113" s="261">
        <f>IF($D113="High impact",1,IF($D113="Moderate impact",0.5,IF($D113="Low impact",0.25,0)))</f>
        <v/>
      </c>
      <c r="L113" s="261">
        <f>IF($E113="High impact",1,IF($E113="Moderate impact",0.5,IF($E113="Low impact",0.25,0)))</f>
        <v/>
      </c>
      <c r="M113" s="261">
        <f>IF($H113="",0,$K113*$H113)</f>
        <v/>
      </c>
      <c r="N113" s="261">
        <f>IF($H113="",0,$K113)</f>
        <v/>
      </c>
      <c r="O113" s="261">
        <f>IF($H113="",0,$L113*$H113)</f>
        <v/>
      </c>
      <c r="P113" s="261">
        <f>IF($H113="",0,$L113)</f>
        <v/>
      </c>
      <c r="Q113" s="261">
        <f>IF($I113="",0,$K113*$I113)</f>
        <v/>
      </c>
      <c r="R113" s="261">
        <f>IF($I113="",0,$K113)</f>
        <v/>
      </c>
      <c r="S113" s="261">
        <f>IF($I113="",0,$L113*$I113)</f>
        <v/>
      </c>
      <c r="T113" s="261">
        <f>IF($I113="",0,$L113)</f>
        <v/>
      </c>
      <c r="U113" s="261" t="inlineStr">
        <is>
          <t>SV35</t>
        </is>
      </c>
      <c r="V113" s="261">
        <f>IFERROR(INDEX(Questions!$Q:$Q,$A113),"")</f>
        <v/>
      </c>
    </row>
    <row r="114" ht="26" customHeight="1" s="215">
      <c r="A114" s="143">
        <f>IFERROR(MATCH($U114,Questions!$K:$K,0),"")</f>
        <v/>
      </c>
      <c r="B114" s="144">
        <f>IFERROR(INDEX(Questions!$A:$A,$A114),"")</f>
        <v/>
      </c>
      <c r="C114" s="145">
        <f>IF(IFERROR(INDEX(Questions!$L:$L,$A114),"")="GATE","Yes","")</f>
        <v/>
      </c>
      <c r="D114" s="146" t="inlineStr">
        <is>
          <t>Moderate impact</t>
        </is>
      </c>
      <c r="E114" s="146" t="inlineStr">
        <is>
          <t>High impact</t>
        </is>
      </c>
      <c r="F114" s="147">
        <f>IFERROR($K114/$K$134,"")</f>
        <v/>
      </c>
      <c r="G114" s="147">
        <f>IFERROR($L114/$L$134,"")</f>
        <v/>
      </c>
      <c r="H114" s="148">
        <f>IFERROR(INDEX(Questions!$O:$O,$A114),"")</f>
        <v/>
      </c>
      <c r="I114" s="148">
        <f>IFERROR(INDEX(Questions!$P:$P,$A114),"")</f>
        <v/>
      </c>
      <c r="J114" s="261" t="n"/>
      <c r="K114" s="261">
        <f>IF($D114="High impact",1,IF($D114="Moderate impact",0.5,IF($D114="Low impact",0.25,0)))</f>
        <v/>
      </c>
      <c r="L114" s="261">
        <f>IF($E114="High impact",1,IF($E114="Moderate impact",0.5,IF($E114="Low impact",0.25,0)))</f>
        <v/>
      </c>
      <c r="M114" s="261">
        <f>IF($H114="",0,$K114*$H114)</f>
        <v/>
      </c>
      <c r="N114" s="261">
        <f>IF($H114="",0,$K114)</f>
        <v/>
      </c>
      <c r="O114" s="261">
        <f>IF($H114="",0,$L114*$H114)</f>
        <v/>
      </c>
      <c r="P114" s="261">
        <f>IF($H114="",0,$L114)</f>
        <v/>
      </c>
      <c r="Q114" s="261">
        <f>IF($I114="",0,$K114*$I114)</f>
        <v/>
      </c>
      <c r="R114" s="261">
        <f>IF($I114="",0,$K114)</f>
        <v/>
      </c>
      <c r="S114" s="261">
        <f>IF($I114="",0,$L114*$I114)</f>
        <v/>
      </c>
      <c r="T114" s="261">
        <f>IF($I114="",0,$L114)</f>
        <v/>
      </c>
      <c r="U114" s="261" t="inlineStr">
        <is>
          <t>SV44</t>
        </is>
      </c>
      <c r="V114" s="261">
        <f>IFERROR(INDEX(Questions!$Q:$Q,$A114),"")</f>
        <v/>
      </c>
    </row>
    <row r="115" ht="26" customHeight="1" s="215">
      <c r="A115" s="143">
        <f>IFERROR(MATCH($U115,Questions!$K:$K,0),"")</f>
        <v/>
      </c>
      <c r="B115" s="144">
        <f>IFERROR(INDEX(Questions!$A:$A,$A115),"")</f>
        <v/>
      </c>
      <c r="C115" s="145">
        <f>IF(IFERROR(INDEX(Questions!$L:$L,$A115),"")="GATE","Yes","")</f>
        <v/>
      </c>
      <c r="D115" s="146" t="inlineStr">
        <is>
          <t>Moderate impact</t>
        </is>
      </c>
      <c r="E115" s="146" t="inlineStr">
        <is>
          <t>High impact</t>
        </is>
      </c>
      <c r="F115" s="147">
        <f>IFERROR($K115/$K$134,"")</f>
        <v/>
      </c>
      <c r="G115" s="147">
        <f>IFERROR($L115/$L$134,"")</f>
        <v/>
      </c>
      <c r="H115" s="148">
        <f>IFERROR(INDEX(Questions!$O:$O,$A115),"")</f>
        <v/>
      </c>
      <c r="I115" s="148">
        <f>IFERROR(INDEX(Questions!$P:$P,$A115),"")</f>
        <v/>
      </c>
      <c r="J115" s="261" t="n"/>
      <c r="K115" s="261">
        <f>IF($D115="High impact",1,IF($D115="Moderate impact",0.5,IF($D115="Low impact",0.25,0)))</f>
        <v/>
      </c>
      <c r="L115" s="261">
        <f>IF($E115="High impact",1,IF($E115="Moderate impact",0.5,IF($E115="Low impact",0.25,0)))</f>
        <v/>
      </c>
      <c r="M115" s="261">
        <f>IF($H115="",0,$K115*$H115)</f>
        <v/>
      </c>
      <c r="N115" s="261">
        <f>IF($H115="",0,$K115)</f>
        <v/>
      </c>
      <c r="O115" s="261">
        <f>IF($H115="",0,$L115*$H115)</f>
        <v/>
      </c>
      <c r="P115" s="261">
        <f>IF($H115="",0,$L115)</f>
        <v/>
      </c>
      <c r="Q115" s="261">
        <f>IF($I115="",0,$K115*$I115)</f>
        <v/>
      </c>
      <c r="R115" s="261">
        <f>IF($I115="",0,$K115)</f>
        <v/>
      </c>
      <c r="S115" s="261">
        <f>IF($I115="",0,$L115*$I115)</f>
        <v/>
      </c>
      <c r="T115" s="261">
        <f>IF($I115="",0,$L115)</f>
        <v/>
      </c>
      <c r="U115" s="261" t="inlineStr">
        <is>
          <t>SV7</t>
        </is>
      </c>
      <c r="V115" s="261">
        <f>IFERROR(INDEX(Questions!$Q:$Q,$A115),"")</f>
        <v/>
      </c>
    </row>
    <row r="116" ht="26" customHeight="1" s="215">
      <c r="A116" s="143">
        <f>IFERROR(MATCH($U116,Questions!$K:$K,0),"")</f>
        <v/>
      </c>
      <c r="B116" s="144">
        <f>IFERROR(INDEX(Questions!$A:$A,$A116),"")</f>
        <v/>
      </c>
      <c r="C116" s="145">
        <f>IF(IFERROR(INDEX(Questions!$L:$L,$A116),"")="GATE","Yes","")</f>
        <v/>
      </c>
      <c r="D116" s="146" t="inlineStr">
        <is>
          <t>High impact</t>
        </is>
      </c>
      <c r="E116" s="146" t="inlineStr">
        <is>
          <t>Moderate impact</t>
        </is>
      </c>
      <c r="F116" s="147">
        <f>IFERROR($K116/$K$134,"")</f>
        <v/>
      </c>
      <c r="G116" s="147">
        <f>IFERROR($L116/$L$134,"")</f>
        <v/>
      </c>
      <c r="H116" s="148">
        <f>IFERROR(INDEX(Questions!$O:$O,$A116),"")</f>
        <v/>
      </c>
      <c r="I116" s="148">
        <f>IFERROR(INDEX(Questions!$P:$P,$A116),"")</f>
        <v/>
      </c>
      <c r="J116" s="261" t="n"/>
      <c r="K116" s="261">
        <f>IF($D116="High impact",1,IF($D116="Moderate impact",0.5,IF($D116="Low impact",0.25,0)))</f>
        <v/>
      </c>
      <c r="L116" s="261">
        <f>IF($E116="High impact",1,IF($E116="Moderate impact",0.5,IF($E116="Low impact",0.25,0)))</f>
        <v/>
      </c>
      <c r="M116" s="261">
        <f>IF($H116="",0,$K116*$H116)</f>
        <v/>
      </c>
      <c r="N116" s="261">
        <f>IF($H116="",0,$K116)</f>
        <v/>
      </c>
      <c r="O116" s="261">
        <f>IF($H116="",0,$L116*$H116)</f>
        <v/>
      </c>
      <c r="P116" s="261">
        <f>IF($H116="",0,$L116)</f>
        <v/>
      </c>
      <c r="Q116" s="261">
        <f>IF($I116="",0,$K116*$I116)</f>
        <v/>
      </c>
      <c r="R116" s="261">
        <f>IF($I116="",0,$K116)</f>
        <v/>
      </c>
      <c r="S116" s="261">
        <f>IF($I116="",0,$L116*$I116)</f>
        <v/>
      </c>
      <c r="T116" s="261">
        <f>IF($I116="",0,$L116)</f>
        <v/>
      </c>
      <c r="U116" s="261" t="inlineStr">
        <is>
          <t>N8</t>
        </is>
      </c>
      <c r="V116" s="261">
        <f>IFERROR(INDEX(Questions!$Q:$Q,$A116),"")</f>
        <v/>
      </c>
    </row>
    <row r="117" ht="26" customHeight="1" s="215">
      <c r="A117" s="143">
        <f>IFERROR(MATCH($U117,Questions!$K:$K,0),"")</f>
        <v/>
      </c>
      <c r="B117" s="144">
        <f>IFERROR(INDEX(Questions!$A:$A,$A117),"")</f>
        <v/>
      </c>
      <c r="C117" s="145">
        <f>IF(IFERROR(INDEX(Questions!$L:$L,$A117),"")="GATE","Yes","")</f>
        <v/>
      </c>
      <c r="D117" s="146" t="inlineStr">
        <is>
          <t>High impact</t>
        </is>
      </c>
      <c r="E117" s="146" t="inlineStr">
        <is>
          <t>Moderate impact</t>
        </is>
      </c>
      <c r="F117" s="147">
        <f>IFERROR($K117/$K$134,"")</f>
        <v/>
      </c>
      <c r="G117" s="147">
        <f>IFERROR($L117/$L$134,"")</f>
        <v/>
      </c>
      <c r="H117" s="148">
        <f>IFERROR(INDEX(Questions!$O:$O,$A117),"")</f>
        <v/>
      </c>
      <c r="I117" s="148">
        <f>IFERROR(INDEX(Questions!$P:$P,$A117),"")</f>
        <v/>
      </c>
      <c r="J117" s="261" t="n"/>
      <c r="K117" s="261">
        <f>IF($D117="High impact",1,IF($D117="Moderate impact",0.5,IF($D117="Low impact",0.25,0)))</f>
        <v/>
      </c>
      <c r="L117" s="261">
        <f>IF($E117="High impact",1,IF($E117="Moderate impact",0.5,IF($E117="Low impact",0.25,0)))</f>
        <v/>
      </c>
      <c r="M117" s="261">
        <f>IF($H117="",0,$K117*$H117)</f>
        <v/>
      </c>
      <c r="N117" s="261">
        <f>IF($H117="",0,$K117)</f>
        <v/>
      </c>
      <c r="O117" s="261">
        <f>IF($H117="",0,$L117*$H117)</f>
        <v/>
      </c>
      <c r="P117" s="261">
        <f>IF($H117="",0,$L117)</f>
        <v/>
      </c>
      <c r="Q117" s="261">
        <f>IF($I117="",0,$K117*$I117)</f>
        <v/>
      </c>
      <c r="R117" s="261">
        <f>IF($I117="",0,$K117)</f>
        <v/>
      </c>
      <c r="S117" s="261">
        <f>IF($I117="",0,$L117*$I117)</f>
        <v/>
      </c>
      <c r="T117" s="261">
        <f>IF($I117="",0,$L117)</f>
        <v/>
      </c>
      <c r="U117" s="261" t="inlineStr">
        <is>
          <t>R6</t>
        </is>
      </c>
      <c r="V117" s="261">
        <f>IFERROR(INDEX(Questions!$Q:$Q,$A117),"")</f>
        <v/>
      </c>
    </row>
    <row r="118" ht="26" customHeight="1" s="215">
      <c r="A118" s="143">
        <f>IFERROR(MATCH($U118,Questions!$K:$K,0),"")</f>
        <v/>
      </c>
      <c r="B118" s="144">
        <f>IFERROR(INDEX(Questions!$A:$A,$A118),"")</f>
        <v/>
      </c>
      <c r="C118" s="145">
        <f>IF(IFERROR(INDEX(Questions!$L:$L,$A118),"")="GATE","Yes","")</f>
        <v/>
      </c>
      <c r="D118" s="146" t="inlineStr">
        <is>
          <t>Low impact</t>
        </is>
      </c>
      <c r="E118" s="146" t="inlineStr">
        <is>
          <t>Moderate impact</t>
        </is>
      </c>
      <c r="F118" s="147">
        <f>IFERROR($K118/$K$134,"")</f>
        <v/>
      </c>
      <c r="G118" s="147">
        <f>IFERROR($L118/$L$134,"")</f>
        <v/>
      </c>
      <c r="H118" s="148">
        <f>IFERROR(INDEX(Questions!$O:$O,$A118),"")</f>
        <v/>
      </c>
      <c r="I118" s="148">
        <f>IFERROR(INDEX(Questions!$P:$P,$A118),"")</f>
        <v/>
      </c>
      <c r="J118" s="261" t="n"/>
      <c r="K118" s="261">
        <f>IF($D118="High impact",1,IF($D118="Moderate impact",0.5,IF($D118="Low impact",0.25,0)))</f>
        <v/>
      </c>
      <c r="L118" s="261">
        <f>IF($E118="High impact",1,IF($E118="Moderate impact",0.5,IF($E118="Low impact",0.25,0)))</f>
        <v/>
      </c>
      <c r="M118" s="261">
        <f>IF($H118="",0,$K118*$H118)</f>
        <v/>
      </c>
      <c r="N118" s="261">
        <f>IF($H118="",0,$K118)</f>
        <v/>
      </c>
      <c r="O118" s="261">
        <f>IF($H118="",0,$L118*$H118)</f>
        <v/>
      </c>
      <c r="P118" s="261">
        <f>IF($H118="",0,$L118)</f>
        <v/>
      </c>
      <c r="Q118" s="261">
        <f>IF($I118="",0,$K118*$I118)</f>
        <v/>
      </c>
      <c r="R118" s="261">
        <f>IF($I118="",0,$K118)</f>
        <v/>
      </c>
      <c r="S118" s="261">
        <f>IF($I118="",0,$L118*$I118)</f>
        <v/>
      </c>
      <c r="T118" s="261">
        <f>IF($I118="",0,$L118)</f>
        <v/>
      </c>
      <c r="U118" s="261" t="inlineStr">
        <is>
          <t>N11</t>
        </is>
      </c>
      <c r="V118" s="261">
        <f>IFERROR(INDEX(Questions!$Q:$Q,$A118),"")</f>
        <v/>
      </c>
    </row>
    <row r="119" ht="26" customHeight="1" s="215">
      <c r="A119" s="143">
        <f>IFERROR(MATCH($U119,Questions!$K:$K,0),"")</f>
        <v/>
      </c>
      <c r="B119" s="144">
        <f>IFERROR(INDEX(Questions!$A:$A,$A119),"")</f>
        <v/>
      </c>
      <c r="C119" s="145">
        <f>IF(IFERROR(INDEX(Questions!$L:$L,$A119),"")="GATE","Yes","")</f>
        <v/>
      </c>
      <c r="D119" s="146" t="inlineStr">
        <is>
          <t>High impact</t>
        </is>
      </c>
      <c r="E119" s="146" t="inlineStr">
        <is>
          <t>Low impact</t>
        </is>
      </c>
      <c r="F119" s="147">
        <f>IFERROR($K119/$K$134,"")</f>
        <v/>
      </c>
      <c r="G119" s="147">
        <f>IFERROR($L119/$L$134,"")</f>
        <v/>
      </c>
      <c r="H119" s="148">
        <f>IFERROR(INDEX(Questions!$O:$O,$A119),"")</f>
        <v/>
      </c>
      <c r="I119" s="148">
        <f>IFERROR(INDEX(Questions!$P:$P,$A119),"")</f>
        <v/>
      </c>
      <c r="J119" s="261" t="n"/>
      <c r="K119" s="261">
        <f>IF($D119="High impact",1,IF($D119="Moderate impact",0.5,IF($D119="Low impact",0.25,0)))</f>
        <v/>
      </c>
      <c r="L119" s="261">
        <f>IF($E119="High impact",1,IF($E119="Moderate impact",0.5,IF($E119="Low impact",0.25,0)))</f>
        <v/>
      </c>
      <c r="M119" s="261">
        <f>IF($H119="",0,$K119*$H119)</f>
        <v/>
      </c>
      <c r="N119" s="261">
        <f>IF($H119="",0,$K119)</f>
        <v/>
      </c>
      <c r="O119" s="261">
        <f>IF($H119="",0,$L119*$H119)</f>
        <v/>
      </c>
      <c r="P119" s="261">
        <f>IF($H119="",0,$L119)</f>
        <v/>
      </c>
      <c r="Q119" s="261">
        <f>IF($I119="",0,$K119*$I119)</f>
        <v/>
      </c>
      <c r="R119" s="261">
        <f>IF($I119="",0,$K119)</f>
        <v/>
      </c>
      <c r="S119" s="261">
        <f>IF($I119="",0,$L119*$I119)</f>
        <v/>
      </c>
      <c r="T119" s="261">
        <f>IF($I119="",0,$L119)</f>
        <v/>
      </c>
      <c r="U119" s="261" t="inlineStr">
        <is>
          <t>R23</t>
        </is>
      </c>
      <c r="V119" s="261">
        <f>IFERROR(INDEX(Questions!$Q:$Q,$A119),"")</f>
        <v/>
      </c>
    </row>
    <row r="120" ht="26" customHeight="1" s="215">
      <c r="A120" s="143">
        <f>IFERROR(MATCH($U120,Questions!$K:$K,0),"")</f>
        <v/>
      </c>
      <c r="B120" s="144">
        <f>IFERROR(INDEX(Questions!$A:$A,$A120),"")</f>
        <v/>
      </c>
      <c r="C120" s="145">
        <f>IF(IFERROR(INDEX(Questions!$L:$L,$A120),"")="GATE","Yes","")</f>
        <v/>
      </c>
      <c r="D120" s="146" t="inlineStr">
        <is>
          <t>Low impact</t>
        </is>
      </c>
      <c r="E120" s="146" t="inlineStr">
        <is>
          <t>High impact</t>
        </is>
      </c>
      <c r="F120" s="147">
        <f>IFERROR($K120/$K$134,"")</f>
        <v/>
      </c>
      <c r="G120" s="147">
        <f>IFERROR($L120/$L$134,"")</f>
        <v/>
      </c>
      <c r="H120" s="148">
        <f>IFERROR(INDEX(Questions!$O:$O,$A120),"")</f>
        <v/>
      </c>
      <c r="I120" s="148">
        <f>IFERROR(INDEX(Questions!$P:$P,$A120),"")</f>
        <v/>
      </c>
      <c r="J120" s="261" t="n"/>
      <c r="K120" s="261">
        <f>IF($D120="High impact",1,IF($D120="Moderate impact",0.5,IF($D120="Low impact",0.25,0)))</f>
        <v/>
      </c>
      <c r="L120" s="261">
        <f>IF($E120="High impact",1,IF($E120="Moderate impact",0.5,IF($E120="Low impact",0.25,0)))</f>
        <v/>
      </c>
      <c r="M120" s="261">
        <f>IF($H120="",0,$K120*$H120)</f>
        <v/>
      </c>
      <c r="N120" s="261">
        <f>IF($H120="",0,$K120)</f>
        <v/>
      </c>
      <c r="O120" s="261">
        <f>IF($H120="",0,$L120*$H120)</f>
        <v/>
      </c>
      <c r="P120" s="261">
        <f>IF($H120="",0,$L120)</f>
        <v/>
      </c>
      <c r="Q120" s="261">
        <f>IF($I120="",0,$K120*$I120)</f>
        <v/>
      </c>
      <c r="R120" s="261">
        <f>IF($I120="",0,$K120)</f>
        <v/>
      </c>
      <c r="S120" s="261">
        <f>IF($I120="",0,$L120*$I120)</f>
        <v/>
      </c>
      <c r="T120" s="261">
        <f>IF($I120="",0,$L120)</f>
        <v/>
      </c>
      <c r="U120" s="261" t="inlineStr">
        <is>
          <t>INT</t>
        </is>
      </c>
      <c r="V120" s="261">
        <f>IFERROR(INDEX(Questions!$Q:$Q,$A120),"")</f>
        <v/>
      </c>
    </row>
    <row r="121" ht="26" customHeight="1" s="215">
      <c r="A121" s="143">
        <f>IFERROR(MATCH($U121,Questions!$K:$K,0),"")</f>
        <v/>
      </c>
      <c r="B121" s="144">
        <f>IFERROR(INDEX(Questions!$A:$A,$A121),"")</f>
        <v/>
      </c>
      <c r="C121" s="145">
        <f>IF(IFERROR(INDEX(Questions!$L:$L,$A121),"")="GATE","Yes","")</f>
        <v/>
      </c>
      <c r="D121" s="146" t="inlineStr">
        <is>
          <t>High impact</t>
        </is>
      </c>
      <c r="E121" s="146" t="inlineStr">
        <is>
          <t>Moderate impact</t>
        </is>
      </c>
      <c r="F121" s="147">
        <f>IFERROR($K121/$K$134,"")</f>
        <v/>
      </c>
      <c r="G121" s="147">
        <f>IFERROR($L121/$L$134,"")</f>
        <v/>
      </c>
      <c r="H121" s="148">
        <f>IFERROR(INDEX(Questions!$O:$O,$A121),"")</f>
        <v/>
      </c>
      <c r="I121" s="148">
        <f>IFERROR(INDEX(Questions!$P:$P,$A121),"")</f>
        <v/>
      </c>
      <c r="J121" s="261" t="n"/>
      <c r="K121" s="261">
        <f>IF($D121="High impact",1,IF($D121="Moderate impact",0.5,IF($D121="Low impact",0.25,0)))</f>
        <v/>
      </c>
      <c r="L121" s="261">
        <f>IF($E121="High impact",1,IF($E121="Moderate impact",0.5,IF($E121="Low impact",0.25,0)))</f>
        <v/>
      </c>
      <c r="M121" s="261">
        <f>IF($H121="",0,$K121*$H121)</f>
        <v/>
      </c>
      <c r="N121" s="261">
        <f>IF($H121="",0,$K121)</f>
        <v/>
      </c>
      <c r="O121" s="261">
        <f>IF($H121="",0,$L121*$H121)</f>
        <v/>
      </c>
      <c r="P121" s="261">
        <f>IF($H121="",0,$L121)</f>
        <v/>
      </c>
      <c r="Q121" s="261">
        <f>IF($I121="",0,$K121*$I121)</f>
        <v/>
      </c>
      <c r="R121" s="261">
        <f>IF($I121="",0,$K121)</f>
        <v/>
      </c>
      <c r="S121" s="261">
        <f>IF($I121="",0,$L121*$I121)</f>
        <v/>
      </c>
      <c r="T121" s="261">
        <f>IF($I121="",0,$L121)</f>
        <v/>
      </c>
      <c r="U121" s="261" t="inlineStr">
        <is>
          <t>N6</t>
        </is>
      </c>
      <c r="V121" s="261">
        <f>IFERROR(INDEX(Questions!$Q:$Q,$A121),"")</f>
        <v/>
      </c>
    </row>
    <row r="122" ht="26" customHeight="1" s="215">
      <c r="A122" s="143">
        <f>IFERROR(MATCH($U122,Questions!$K:$K,0),"")</f>
        <v/>
      </c>
      <c r="B122" s="144">
        <f>IFERROR(INDEX(Questions!$A:$A,$A122),"")</f>
        <v/>
      </c>
      <c r="C122" s="145">
        <f>IF(IFERROR(INDEX(Questions!$L:$L,$A122),"")="GATE","Yes","")</f>
        <v/>
      </c>
      <c r="D122" s="146" t="inlineStr">
        <is>
          <t>Moderate impact</t>
        </is>
      </c>
      <c r="E122" s="146" t="inlineStr">
        <is>
          <t>Low impact</t>
        </is>
      </c>
      <c r="F122" s="147">
        <f>IFERROR($K122/$K$134,"")</f>
        <v/>
      </c>
      <c r="G122" s="147">
        <f>IFERROR($L122/$L$134,"")</f>
        <v/>
      </c>
      <c r="H122" s="148">
        <f>IFERROR(INDEX(Questions!$O:$O,$A122),"")</f>
        <v/>
      </c>
      <c r="I122" s="148">
        <f>IFERROR(INDEX(Questions!$P:$P,$A122),"")</f>
        <v/>
      </c>
      <c r="J122" s="261" t="n"/>
      <c r="K122" s="261">
        <f>IF($D122="High impact",1,IF($D122="Moderate impact",0.5,IF($D122="Low impact",0.25,0)))</f>
        <v/>
      </c>
      <c r="L122" s="261">
        <f>IF($E122="High impact",1,IF($E122="Moderate impact",0.5,IF($E122="Low impact",0.25,0)))</f>
        <v/>
      </c>
      <c r="M122" s="261">
        <f>IF($H122="",0,$K122*$H122)</f>
        <v/>
      </c>
      <c r="N122" s="261">
        <f>IF($H122="",0,$K122)</f>
        <v/>
      </c>
      <c r="O122" s="261">
        <f>IF($H122="",0,$L122*$H122)</f>
        <v/>
      </c>
      <c r="P122" s="261">
        <f>IF($H122="",0,$L122)</f>
        <v/>
      </c>
      <c r="Q122" s="261">
        <f>IF($I122="",0,$K122*$I122)</f>
        <v/>
      </c>
      <c r="R122" s="261">
        <f>IF($I122="",0,$K122)</f>
        <v/>
      </c>
      <c r="S122" s="261">
        <f>IF($I122="",0,$L122*$I122)</f>
        <v/>
      </c>
      <c r="T122" s="261">
        <f>IF($I122="",0,$L122)</f>
        <v/>
      </c>
      <c r="U122" s="261" t="inlineStr">
        <is>
          <t>SV116</t>
        </is>
      </c>
      <c r="V122" s="261">
        <f>IFERROR(INDEX(Questions!$Q:$Q,$A122),"")</f>
        <v/>
      </c>
    </row>
    <row r="123" ht="26" customHeight="1" s="215">
      <c r="A123" s="143">
        <f>IFERROR(MATCH($U123,Questions!$K:$K,0),"")</f>
        <v/>
      </c>
      <c r="B123" s="144">
        <f>IFERROR(INDEX(Questions!$A:$A,$A123),"")</f>
        <v/>
      </c>
      <c r="C123" s="145">
        <f>IF(IFERROR(INDEX(Questions!$L:$L,$A123),"")="GATE","Yes","")</f>
        <v/>
      </c>
      <c r="D123" s="146" t="inlineStr">
        <is>
          <t>Low impact</t>
        </is>
      </c>
      <c r="E123" s="146" t="inlineStr">
        <is>
          <t>High impact</t>
        </is>
      </c>
      <c r="F123" s="147">
        <f>IFERROR($K123/$K$134,"")</f>
        <v/>
      </c>
      <c r="G123" s="147">
        <f>IFERROR($L123/$L$134,"")</f>
        <v/>
      </c>
      <c r="H123" s="148">
        <f>IFERROR(INDEX(Questions!$O:$O,$A123),"")</f>
        <v/>
      </c>
      <c r="I123" s="148">
        <f>IFERROR(INDEX(Questions!$P:$P,$A123),"")</f>
        <v/>
      </c>
      <c r="J123" s="261" t="n"/>
      <c r="K123" s="261">
        <f>IF($D123="High impact",1,IF($D123="Moderate impact",0.5,IF($D123="Low impact",0.25,0)))</f>
        <v/>
      </c>
      <c r="L123" s="261">
        <f>IF($E123="High impact",1,IF($E123="Moderate impact",0.5,IF($E123="Low impact",0.25,0)))</f>
        <v/>
      </c>
      <c r="M123" s="261">
        <f>IF($H123="",0,$K123*$H123)</f>
        <v/>
      </c>
      <c r="N123" s="261">
        <f>IF($H123="",0,$K123)</f>
        <v/>
      </c>
      <c r="O123" s="261">
        <f>IF($H123="",0,$L123*$H123)</f>
        <v/>
      </c>
      <c r="P123" s="261">
        <f>IF($H123="",0,$L123)</f>
        <v/>
      </c>
      <c r="Q123" s="261">
        <f>IF($I123="",0,$K123*$I123)</f>
        <v/>
      </c>
      <c r="R123" s="261">
        <f>IF($I123="",0,$K123)</f>
        <v/>
      </c>
      <c r="S123" s="261">
        <f>IF($I123="",0,$L123*$I123)</f>
        <v/>
      </c>
      <c r="T123" s="261">
        <f>IF($I123="",0,$L123)</f>
        <v/>
      </c>
      <c r="U123" s="261" t="inlineStr">
        <is>
          <t>SV97</t>
        </is>
      </c>
      <c r="V123" s="261">
        <f>IFERROR(INDEX(Questions!$Q:$Q,$A123),"")</f>
        <v/>
      </c>
    </row>
    <row r="124" ht="26" customHeight="1" s="215">
      <c r="A124" s="143">
        <f>IFERROR(MATCH($U124,Questions!$K:$K,0),"")</f>
        <v/>
      </c>
      <c r="B124" s="144">
        <f>IFERROR(INDEX(Questions!$A:$A,$A124),"")</f>
        <v/>
      </c>
      <c r="C124" s="145">
        <f>IF(IFERROR(INDEX(Questions!$L:$L,$A124),"")="GATE","Yes","")</f>
        <v/>
      </c>
      <c r="D124" s="146" t="inlineStr">
        <is>
          <t>High impact</t>
        </is>
      </c>
      <c r="E124" s="146" t="inlineStr">
        <is>
          <t>Moderate impact</t>
        </is>
      </c>
      <c r="F124" s="147">
        <f>IFERROR($K124/$K$134,"")</f>
        <v/>
      </c>
      <c r="G124" s="147">
        <f>IFERROR($L124/$L$134,"")</f>
        <v/>
      </c>
      <c r="H124" s="148">
        <f>IFERROR(INDEX(Questions!$O:$O,$A124),"")</f>
        <v/>
      </c>
      <c r="I124" s="148">
        <f>IFERROR(INDEX(Questions!$P:$P,$A124),"")</f>
        <v/>
      </c>
      <c r="J124" s="261" t="n"/>
      <c r="K124" s="261">
        <f>IF($D124="High impact",1,IF($D124="Moderate impact",0.5,IF($D124="Low impact",0.25,0)))</f>
        <v/>
      </c>
      <c r="L124" s="261">
        <f>IF($E124="High impact",1,IF($E124="Moderate impact",0.5,IF($E124="Low impact",0.25,0)))</f>
        <v/>
      </c>
      <c r="M124" s="261">
        <f>IF($H124="",0,$K124*$H124)</f>
        <v/>
      </c>
      <c r="N124" s="261">
        <f>IF($H124="",0,$K124)</f>
        <v/>
      </c>
      <c r="O124" s="261">
        <f>IF($H124="",0,$L124*$H124)</f>
        <v/>
      </c>
      <c r="P124" s="261">
        <f>IF($H124="",0,$L124)</f>
        <v/>
      </c>
      <c r="Q124" s="261">
        <f>IF($I124="",0,$K124*$I124)</f>
        <v/>
      </c>
      <c r="R124" s="261">
        <f>IF($I124="",0,$K124)</f>
        <v/>
      </c>
      <c r="S124" s="261">
        <f>IF($I124="",0,$L124*$I124)</f>
        <v/>
      </c>
      <c r="T124" s="261">
        <f>IF($I124="",0,$L124)</f>
        <v/>
      </c>
      <c r="U124" s="261" t="inlineStr">
        <is>
          <t>SV110</t>
        </is>
      </c>
      <c r="V124" s="261">
        <f>IFERROR(INDEX(Questions!$Q:$Q,$A124),"")</f>
        <v/>
      </c>
    </row>
    <row r="125" ht="26" customHeight="1" s="215">
      <c r="A125" s="143">
        <f>IFERROR(MATCH($U125,Questions!$K:$K,0),"")</f>
        <v/>
      </c>
      <c r="B125" s="144">
        <f>IFERROR(INDEX(Questions!$A:$A,$A125),"")</f>
        <v/>
      </c>
      <c r="C125" s="145">
        <f>IF(IFERROR(INDEX(Questions!$L:$L,$A125),"")="GATE","Yes","")</f>
        <v/>
      </c>
      <c r="D125" s="146" t="inlineStr">
        <is>
          <t>High impact</t>
        </is>
      </c>
      <c r="E125" s="146" t="inlineStr">
        <is>
          <t>Low impact</t>
        </is>
      </c>
      <c r="F125" s="147">
        <f>IFERROR($K125/$K$134,"")</f>
        <v/>
      </c>
      <c r="G125" s="147">
        <f>IFERROR($L125/$L$134,"")</f>
        <v/>
      </c>
      <c r="H125" s="148">
        <f>IFERROR(INDEX(Questions!$O:$O,$A125),"")</f>
        <v/>
      </c>
      <c r="I125" s="148">
        <f>IFERROR(INDEX(Questions!$P:$P,$A125),"")</f>
        <v/>
      </c>
      <c r="J125" s="261" t="n"/>
      <c r="K125" s="261">
        <f>IF($D125="High impact",1,IF($D125="Moderate impact",0.5,IF($D125="Low impact",0.25,0)))</f>
        <v/>
      </c>
      <c r="L125" s="261">
        <f>IF($E125="High impact",1,IF($E125="Moderate impact",0.5,IF($E125="Low impact",0.25,0)))</f>
        <v/>
      </c>
      <c r="M125" s="261">
        <f>IF($H125="",0,$K125*$H125)</f>
        <v/>
      </c>
      <c r="N125" s="261">
        <f>IF($H125="",0,$K125)</f>
        <v/>
      </c>
      <c r="O125" s="261">
        <f>IF($H125="",0,$L125*$H125)</f>
        <v/>
      </c>
      <c r="P125" s="261">
        <f>IF($H125="",0,$L125)</f>
        <v/>
      </c>
      <c r="Q125" s="261">
        <f>IF($I125="",0,$K125*$I125)</f>
        <v/>
      </c>
      <c r="R125" s="261">
        <f>IF($I125="",0,$K125)</f>
        <v/>
      </c>
      <c r="S125" s="261">
        <f>IF($I125="",0,$L125*$I125)</f>
        <v/>
      </c>
      <c r="T125" s="261">
        <f>IF($I125="",0,$L125)</f>
        <v/>
      </c>
      <c r="U125" s="261" t="inlineStr">
        <is>
          <t>N5</t>
        </is>
      </c>
      <c r="V125" s="261">
        <f>IFERROR(INDEX(Questions!$Q:$Q,$A125),"")</f>
        <v/>
      </c>
    </row>
    <row r="126" ht="26" customHeight="1" s="215">
      <c r="A126" s="143">
        <f>IFERROR(MATCH($U126,Questions!$K:$K,0),"")</f>
        <v/>
      </c>
      <c r="B126" s="144">
        <f>IFERROR(INDEX(Questions!$A:$A,$A126),"")</f>
        <v/>
      </c>
      <c r="C126" s="145">
        <f>IF(IFERROR(INDEX(Questions!$L:$L,$A126),"")="GATE","Yes","")</f>
        <v/>
      </c>
      <c r="D126" s="146" t="inlineStr">
        <is>
          <t>High impact</t>
        </is>
      </c>
      <c r="E126" s="146" t="inlineStr">
        <is>
          <t>Low impact</t>
        </is>
      </c>
      <c r="F126" s="147">
        <f>IFERROR($K126/$K$134,"")</f>
        <v/>
      </c>
      <c r="G126" s="147">
        <f>IFERROR($L126/$L$134,"")</f>
        <v/>
      </c>
      <c r="H126" s="148">
        <f>IFERROR(INDEX(Questions!$O:$O,$A126),"")</f>
        <v/>
      </c>
      <c r="I126" s="148">
        <f>IFERROR(INDEX(Questions!$P:$P,$A126),"")</f>
        <v/>
      </c>
      <c r="J126" s="261" t="n"/>
      <c r="K126" s="261">
        <f>IF($D126="High impact",1,IF($D126="Moderate impact",0.5,IF($D126="Low impact",0.25,0)))</f>
        <v/>
      </c>
      <c r="L126" s="261">
        <f>IF($E126="High impact",1,IF($E126="Moderate impact",0.5,IF($E126="Low impact",0.25,0)))</f>
        <v/>
      </c>
      <c r="M126" s="261">
        <f>IF($H126="",0,$K126*$H126)</f>
        <v/>
      </c>
      <c r="N126" s="261">
        <f>IF($H126="",0,$K126)</f>
        <v/>
      </c>
      <c r="O126" s="261">
        <f>IF($H126="",0,$L126*$H126)</f>
        <v/>
      </c>
      <c r="P126" s="261">
        <f>IF($H126="",0,$L126)</f>
        <v/>
      </c>
      <c r="Q126" s="261">
        <f>IF($I126="",0,$K126*$I126)</f>
        <v/>
      </c>
      <c r="R126" s="261">
        <f>IF($I126="",0,$K126)</f>
        <v/>
      </c>
      <c r="S126" s="261">
        <f>IF($I126="",0,$L126*$I126)</f>
        <v/>
      </c>
      <c r="T126" s="261">
        <f>IF($I126="",0,$L126)</f>
        <v/>
      </c>
      <c r="U126" s="261" t="inlineStr">
        <is>
          <t>N9</t>
        </is>
      </c>
      <c r="V126" s="261">
        <f>IFERROR(INDEX(Questions!$Q:$Q,$A126),"")</f>
        <v/>
      </c>
    </row>
    <row r="127" ht="26" customHeight="1" s="215">
      <c r="A127" s="143">
        <f>IFERROR(MATCH($U127,Questions!$K:$K,0),"")</f>
        <v/>
      </c>
      <c r="B127" s="144">
        <f>IFERROR(INDEX(Questions!$A:$A,$A127),"")</f>
        <v/>
      </c>
      <c r="C127" s="145">
        <f>IF(IFERROR(INDEX(Questions!$L:$L,$A127),"")="GATE","Yes","")</f>
        <v/>
      </c>
      <c r="D127" s="146" t="inlineStr">
        <is>
          <t>Moderate impact</t>
        </is>
      </c>
      <c r="E127" s="146" t="inlineStr">
        <is>
          <t>Low impact</t>
        </is>
      </c>
      <c r="F127" s="147">
        <f>IFERROR($K127/$K$134,"")</f>
        <v/>
      </c>
      <c r="G127" s="147">
        <f>IFERROR($L127/$L$134,"")</f>
        <v/>
      </c>
      <c r="H127" s="148">
        <f>IFERROR(INDEX(Questions!$O:$O,$A127),"")</f>
        <v/>
      </c>
      <c r="I127" s="148">
        <f>IFERROR(INDEX(Questions!$P:$P,$A127),"")</f>
        <v/>
      </c>
      <c r="J127" s="261" t="n"/>
      <c r="K127" s="261">
        <f>IF($D127="High impact",1,IF($D127="Moderate impact",0.5,IF($D127="Low impact",0.25,0)))</f>
        <v/>
      </c>
      <c r="L127" s="261">
        <f>IF($E127="High impact",1,IF($E127="Moderate impact",0.5,IF($E127="Low impact",0.25,0)))</f>
        <v/>
      </c>
      <c r="M127" s="261">
        <f>IF($H127="",0,$K127*$H127)</f>
        <v/>
      </c>
      <c r="N127" s="261">
        <f>IF($H127="",0,$K127)</f>
        <v/>
      </c>
      <c r="O127" s="261">
        <f>IF($H127="",0,$L127*$H127)</f>
        <v/>
      </c>
      <c r="P127" s="261">
        <f>IF($H127="",0,$L127)</f>
        <v/>
      </c>
      <c r="Q127" s="261">
        <f>IF($I127="",0,$K127*$I127)</f>
        <v/>
      </c>
      <c r="R127" s="261">
        <f>IF($I127="",0,$K127)</f>
        <v/>
      </c>
      <c r="S127" s="261">
        <f>IF($I127="",0,$L127*$I127)</f>
        <v/>
      </c>
      <c r="T127" s="261">
        <f>IF($I127="",0,$L127)</f>
        <v/>
      </c>
      <c r="U127" s="261" t="inlineStr">
        <is>
          <t>SV6</t>
        </is>
      </c>
      <c r="V127" s="261">
        <f>IFERROR(INDEX(Questions!$Q:$Q,$A127),"")</f>
        <v/>
      </c>
    </row>
    <row r="128" ht="26" customHeight="1" s="215">
      <c r="A128" s="143">
        <f>IFERROR(MATCH($U128,Questions!$K:$K,0),"")</f>
        <v/>
      </c>
      <c r="B128" s="144">
        <f>IFERROR(INDEX(Questions!$A:$A,$A128),"")</f>
        <v/>
      </c>
      <c r="C128" s="145">
        <f>IF(IFERROR(INDEX(Questions!$L:$L,$A128),"")="GATE","Yes","")</f>
        <v/>
      </c>
      <c r="D128" s="146" t="inlineStr">
        <is>
          <t>Low impact</t>
        </is>
      </c>
      <c r="E128" s="146" t="inlineStr">
        <is>
          <t>High impact</t>
        </is>
      </c>
      <c r="F128" s="147">
        <f>IFERROR($K128/$K$134,"")</f>
        <v/>
      </c>
      <c r="G128" s="147">
        <f>IFERROR($L128/$L$134,"")</f>
        <v/>
      </c>
      <c r="H128" s="148">
        <f>IFERROR(INDEX(Questions!$O:$O,$A128),"")</f>
        <v/>
      </c>
      <c r="I128" s="148">
        <f>IFERROR(INDEX(Questions!$P:$P,$A128),"")</f>
        <v/>
      </c>
      <c r="J128" s="261" t="n"/>
      <c r="K128" s="261">
        <f>IF($D128="High impact",1,IF($D128="Moderate impact",0.5,IF($D128="Low impact",0.25,0)))</f>
        <v/>
      </c>
      <c r="L128" s="261">
        <f>IF($E128="High impact",1,IF($E128="Moderate impact",0.5,IF($E128="Low impact",0.25,0)))</f>
        <v/>
      </c>
      <c r="M128" s="261">
        <f>IF($H128="",0,$K128*$H128)</f>
        <v/>
      </c>
      <c r="N128" s="261">
        <f>IF($H128="",0,$K128)</f>
        <v/>
      </c>
      <c r="O128" s="261">
        <f>IF($H128="",0,$L128*$H128)</f>
        <v/>
      </c>
      <c r="P128" s="261">
        <f>IF($H128="",0,$L128)</f>
        <v/>
      </c>
      <c r="Q128" s="261">
        <f>IF($I128="",0,$K128*$I128)</f>
        <v/>
      </c>
      <c r="R128" s="261">
        <f>IF($I128="",0,$K128)</f>
        <v/>
      </c>
      <c r="S128" s="261">
        <f>IF($I128="",0,$L128*$I128)</f>
        <v/>
      </c>
      <c r="T128" s="261">
        <f>IF($I128="",0,$L128)</f>
        <v/>
      </c>
      <c r="U128" s="261" t="inlineStr">
        <is>
          <t>AI2</t>
        </is>
      </c>
      <c r="V128" s="261">
        <f>IFERROR(INDEX(Questions!$Q:$Q,$A128),"")</f>
        <v/>
      </c>
    </row>
    <row r="129" ht="26" customHeight="1" s="215">
      <c r="A129" s="143">
        <f>IFERROR(MATCH($U129,Questions!$K:$K,0),"")</f>
        <v/>
      </c>
      <c r="B129" s="144">
        <f>IFERROR(INDEX(Questions!$A:$A,$A129),"")</f>
        <v/>
      </c>
      <c r="C129" s="145">
        <f>IF(IFERROR(INDEX(Questions!$L:$L,$A129),"")="GATE","Yes","")</f>
        <v/>
      </c>
      <c r="D129" s="146" t="inlineStr">
        <is>
          <t>Low impact</t>
        </is>
      </c>
      <c r="E129" s="146" t="inlineStr">
        <is>
          <t>High impact</t>
        </is>
      </c>
      <c r="F129" s="147">
        <f>IFERROR($K129/$K$134,"")</f>
        <v/>
      </c>
      <c r="G129" s="147">
        <f>IFERROR($L129/$L$134,"")</f>
        <v/>
      </c>
      <c r="H129" s="148">
        <f>IFERROR(INDEX(Questions!$O:$O,$A129),"")</f>
        <v/>
      </c>
      <c r="I129" s="148">
        <f>IFERROR(INDEX(Questions!$P:$P,$A129),"")</f>
        <v/>
      </c>
      <c r="J129" s="261" t="n"/>
      <c r="K129" s="261">
        <f>IF($D129="High impact",1,IF($D129="Moderate impact",0.5,IF($D129="Low impact",0.25,0)))</f>
        <v/>
      </c>
      <c r="L129" s="261">
        <f>IF($E129="High impact",1,IF($E129="Moderate impact",0.5,IF($E129="Low impact",0.25,0)))</f>
        <v/>
      </c>
      <c r="M129" s="261">
        <f>IF($H129="",0,$K129*$H129)</f>
        <v/>
      </c>
      <c r="N129" s="261">
        <f>IF($H129="",0,$K129)</f>
        <v/>
      </c>
      <c r="O129" s="261">
        <f>IF($H129="",0,$L129*$H129)</f>
        <v/>
      </c>
      <c r="P129" s="261">
        <f>IF($H129="",0,$L129)</f>
        <v/>
      </c>
      <c r="Q129" s="261">
        <f>IF($I129="",0,$K129*$I129)</f>
        <v/>
      </c>
      <c r="R129" s="261">
        <f>IF($I129="",0,$K129)</f>
        <v/>
      </c>
      <c r="S129" s="261">
        <f>IF($I129="",0,$L129*$I129)</f>
        <v/>
      </c>
      <c r="T129" s="261">
        <f>IF($I129="",0,$L129)</f>
        <v/>
      </c>
      <c r="U129" s="261" t="inlineStr">
        <is>
          <t>AI3</t>
        </is>
      </c>
      <c r="V129" s="261">
        <f>IFERROR(INDEX(Questions!$Q:$Q,$A129),"")</f>
        <v/>
      </c>
    </row>
    <row r="130" ht="26" customHeight="1" s="215">
      <c r="A130" s="143">
        <f>IFERROR(MATCH($U130,Questions!$K:$K,0),"")</f>
        <v/>
      </c>
      <c r="B130" s="144">
        <f>IFERROR(INDEX(Questions!$A:$A,$A130),"")</f>
        <v/>
      </c>
      <c r="C130" s="145">
        <f>IF(IFERROR(INDEX(Questions!$L:$L,$A130),"")="GATE","Yes","")</f>
        <v/>
      </c>
      <c r="D130" s="146" t="inlineStr">
        <is>
          <t>Low impact</t>
        </is>
      </c>
      <c r="E130" s="146" t="inlineStr">
        <is>
          <t>High impact</t>
        </is>
      </c>
      <c r="F130" s="147">
        <f>IFERROR($K130/$K$134,"")</f>
        <v/>
      </c>
      <c r="G130" s="147">
        <f>IFERROR($L130/$L$134,"")</f>
        <v/>
      </c>
      <c r="H130" s="148">
        <f>IFERROR(INDEX(Questions!$O:$O,$A130),"")</f>
        <v/>
      </c>
      <c r="I130" s="148">
        <f>IFERROR(INDEX(Questions!$P:$P,$A130),"")</f>
        <v/>
      </c>
      <c r="J130" s="261" t="n"/>
      <c r="K130" s="261">
        <f>IF($D130="High impact",1,IF($D130="Moderate impact",0.5,IF($D130="Low impact",0.25,0)))</f>
        <v/>
      </c>
      <c r="L130" s="261">
        <f>IF($E130="High impact",1,IF($E130="Moderate impact",0.5,IF($E130="Low impact",0.25,0)))</f>
        <v/>
      </c>
      <c r="M130" s="261">
        <f>IF($H130="",0,$K130*$H130)</f>
        <v/>
      </c>
      <c r="N130" s="261">
        <f>IF($H130="",0,$K130)</f>
        <v/>
      </c>
      <c r="O130" s="261">
        <f>IF($H130="",0,$L130*$H130)</f>
        <v/>
      </c>
      <c r="P130" s="261">
        <f>IF($H130="",0,$L130)</f>
        <v/>
      </c>
      <c r="Q130" s="261">
        <f>IF($I130="",0,$K130*$I130)</f>
        <v/>
      </c>
      <c r="R130" s="261">
        <f>IF($I130="",0,$K130)</f>
        <v/>
      </c>
      <c r="S130" s="261">
        <f>IF($I130="",0,$L130*$I130)</f>
        <v/>
      </c>
      <c r="T130" s="261">
        <f>IF($I130="",0,$L130)</f>
        <v/>
      </c>
      <c r="U130" s="261" t="inlineStr">
        <is>
          <t>AI1</t>
        </is>
      </c>
      <c r="V130" s="261">
        <f>IFERROR(INDEX(Questions!$Q:$Q,$A130),"")</f>
        <v/>
      </c>
    </row>
    <row r="131" ht="26" customHeight="1" s="215">
      <c r="A131" s="143">
        <f>IFERROR(MATCH($U131,Questions!$K:$K,0),"")</f>
        <v/>
      </c>
      <c r="B131" s="144">
        <f>IFERROR(INDEX(Questions!$A:$A,$A131),"")</f>
        <v/>
      </c>
      <c r="C131" s="145">
        <f>IF(IFERROR(INDEX(Questions!$L:$L,$A131),"")="GATE","Yes","")</f>
        <v/>
      </c>
      <c r="D131" s="166" t="inlineStr">
        <is>
          <t>Low impact</t>
        </is>
      </c>
      <c r="E131" s="166" t="inlineStr">
        <is>
          <t>High impact</t>
        </is>
      </c>
      <c r="F131" s="147">
        <f>IFERROR($K131/$K$134,"")</f>
        <v/>
      </c>
      <c r="G131" s="147">
        <f>IFERROR($L131/$L$134,"")</f>
        <v/>
      </c>
      <c r="H131" s="148">
        <f>IFERROR(INDEX(Questions!$O:$O,$A131),"")</f>
        <v/>
      </c>
      <c r="I131" s="148">
        <f>IFERROR(INDEX(Questions!$P:$P,$A131),"")</f>
        <v/>
      </c>
      <c r="J131" s="261" t="n"/>
      <c r="K131" s="261">
        <f>IF($D131="High impact",1,IF($D131="Moderate impact",0.5,IF($D131="Low impact",0.25,0)))</f>
        <v/>
      </c>
      <c r="L131" s="261">
        <f>IF($E131="High impact",1,IF($E131="Moderate impact",0.5,IF($E131="Low impact",0.25,0)))</f>
        <v/>
      </c>
      <c r="M131" s="261">
        <f>IF($H131="",0,$K131*$H131)</f>
        <v/>
      </c>
      <c r="N131" s="261">
        <f>IF($H131="",0,$K131)</f>
        <v/>
      </c>
      <c r="O131" s="261">
        <f>IF($H131="",0,$L131*$H131)</f>
        <v/>
      </c>
      <c r="P131" s="261">
        <f>IF($H131="",0,$L131)</f>
        <v/>
      </c>
      <c r="Q131" s="261">
        <f>IF($I131="",0,$K131*$I131)</f>
        <v/>
      </c>
      <c r="R131" s="261">
        <f>IF($I131="",0,$K131)</f>
        <v/>
      </c>
      <c r="S131" s="261">
        <f>IF($I131="",0,$L131*$I131)</f>
        <v/>
      </c>
      <c r="T131" s="261">
        <f>IF($I131="",0,$L131)</f>
        <v/>
      </c>
      <c r="U131" s="261" t="inlineStr">
        <is>
          <t>MARGIN</t>
        </is>
      </c>
      <c r="V131" s="261">
        <f>IFERROR(INDEX(Questions!$Q:$Q,$A131),"")</f>
        <v/>
      </c>
    </row>
    <row r="132" ht="26" customHeight="1" s="215">
      <c r="A132" s="143">
        <f>IFERROR(MATCH($U132,Questions!$K:$K,0),"")</f>
        <v/>
      </c>
      <c r="B132" s="144">
        <f>IFERROR(INDEX(Questions!$A:$A,$A132),"")</f>
        <v/>
      </c>
      <c r="C132" s="145">
        <f>IF(IFERROR(INDEX(Questions!$L:$L,$A132),"")="GATE","Yes","")</f>
        <v/>
      </c>
      <c r="D132" s="166" t="inlineStr">
        <is>
          <t>Low impact</t>
        </is>
      </c>
      <c r="E132" s="166" t="inlineStr">
        <is>
          <t>High impact</t>
        </is>
      </c>
      <c r="F132" s="147">
        <f>IFERROR($K132/$K$134,"")</f>
        <v/>
      </c>
      <c r="G132" s="147">
        <f>IFERROR($L132/$L$134,"")</f>
        <v/>
      </c>
      <c r="H132" s="148">
        <f>IFERROR(INDEX(Questions!$O:$O,$A132),"")</f>
        <v/>
      </c>
      <c r="I132" s="148">
        <f>IFERROR(INDEX(Questions!$P:$P,$A132),"")</f>
        <v/>
      </c>
      <c r="J132" s="261" t="n"/>
      <c r="K132" s="261">
        <f>IF($D132="High impact",1,IF($D132="Moderate impact",0.5,IF($D132="Low impact",0.25,0)))</f>
        <v/>
      </c>
      <c r="L132" s="261">
        <f>IF($E132="High impact",1,IF($E132="Moderate impact",0.5,IF($E132="Low impact",0.25,0)))</f>
        <v/>
      </c>
      <c r="M132" s="261">
        <f>IF($H132="",0,$K132*$H132)</f>
        <v/>
      </c>
      <c r="N132" s="261">
        <f>IF($H132="",0,$K132)</f>
        <v/>
      </c>
      <c r="O132" s="261">
        <f>IF($H132="",0,$L132*$H132)</f>
        <v/>
      </c>
      <c r="P132" s="261">
        <f>IF($H132="",0,$L132)</f>
        <v/>
      </c>
      <c r="Q132" s="261">
        <f>IF($I132="",0,$K132*$I132)</f>
        <v/>
      </c>
      <c r="R132" s="261">
        <f>IF($I132="",0,$K132)</f>
        <v/>
      </c>
      <c r="S132" s="261">
        <f>IF($I132="",0,$L132*$I132)</f>
        <v/>
      </c>
      <c r="T132" s="261">
        <f>IF($I132="",0,$L132)</f>
        <v/>
      </c>
      <c r="U132" s="261" t="inlineStr">
        <is>
          <t>POS</t>
        </is>
      </c>
      <c r="V132" s="261">
        <f>IFERROR(INDEX(Questions!$Q:$Q,$A132),"")</f>
        <v/>
      </c>
    </row>
    <row r="133" ht="26" customHeight="1" s="215">
      <c r="A133" s="143">
        <f>IFERROR(MATCH($U133,Questions!$K:$K,0),"")</f>
        <v/>
      </c>
      <c r="B133" s="144">
        <f>IFERROR(INDEX(Questions!$A:$A,$A133),"")</f>
        <v/>
      </c>
      <c r="C133" s="145">
        <f>IF(IFERROR(INDEX(Questions!$L:$L,$A133),"")="GATE","Yes","")</f>
        <v/>
      </c>
      <c r="D133" s="166" t="inlineStr">
        <is>
          <t>Low impact</t>
        </is>
      </c>
      <c r="E133" s="166" t="inlineStr">
        <is>
          <t>High impact</t>
        </is>
      </c>
      <c r="F133" s="147">
        <f>IFERROR($K133/$K$134,"")</f>
        <v/>
      </c>
      <c r="G133" s="147">
        <f>IFERROR($L133/$L$134,"")</f>
        <v/>
      </c>
      <c r="H133" s="148">
        <f>IFERROR(INDEX(Questions!$O:$O,$A133),"")</f>
        <v/>
      </c>
      <c r="I133" s="148">
        <f>IFERROR(INDEX(Questions!$P:$P,$A133),"")</f>
        <v/>
      </c>
      <c r="J133" s="261" t="n"/>
      <c r="K133" s="261">
        <f>IF($D133="High impact",1,IF($D133="Moderate impact",0.5,IF($D133="Low impact",0.25,0)))</f>
        <v/>
      </c>
      <c r="L133" s="261">
        <f>IF($E133="High impact",1,IF($E133="Moderate impact",0.5,IF($E133="Low impact",0.25,0)))</f>
        <v/>
      </c>
      <c r="M133" s="261">
        <f>IF($H133="",0,$K133*$H133)</f>
        <v/>
      </c>
      <c r="N133" s="261">
        <f>IF($H133="",0,$K133)</f>
        <v/>
      </c>
      <c r="O133" s="261">
        <f>IF($H133="",0,$L133*$H133)</f>
        <v/>
      </c>
      <c r="P133" s="261">
        <f>IF($H133="",0,$L133)</f>
        <v/>
      </c>
      <c r="Q133" s="261">
        <f>IF($I133="",0,$K133*$I133)</f>
        <v/>
      </c>
      <c r="R133" s="261">
        <f>IF($I133="",0,$K133)</f>
        <v/>
      </c>
      <c r="S133" s="261">
        <f>IF($I133="",0,$L133*$I133)</f>
        <v/>
      </c>
      <c r="T133" s="261">
        <f>IF($I133="",0,$L133)</f>
        <v/>
      </c>
      <c r="U133" s="261" t="inlineStr">
        <is>
          <t>PRICE</t>
        </is>
      </c>
      <c r="V133" s="261">
        <f>IFERROR(INDEX(Questions!$Q:$Q,$A133),"")</f>
        <v/>
      </c>
    </row>
    <row r="134" ht="45" customHeight="1" s="215">
      <c r="A134" s="167" t="n"/>
      <c r="B134" s="168" t="inlineStr">
        <is>
          <t>Total - must read 100% in both columns</t>
        </is>
      </c>
      <c r="C134" s="169" t="n"/>
      <c r="D134" s="167" t="n"/>
      <c r="E134" s="167" t="n"/>
      <c r="F134" s="170">
        <f>SUM(F107:F133)</f>
        <v/>
      </c>
      <c r="G134" s="170">
        <f>SUM(G107:G133)</f>
        <v/>
      </c>
      <c r="H134" s="167" t="n"/>
      <c r="I134" s="167" t="n"/>
      <c r="J134" s="261" t="n"/>
      <c r="K134" s="261">
        <f>SUM(K107:K133)</f>
        <v/>
      </c>
      <c r="L134" s="261">
        <f>SUM(L107:L133)</f>
        <v/>
      </c>
      <c r="M134" s="261">
        <f>SUM(M107:M133)</f>
        <v/>
      </c>
      <c r="N134" s="261">
        <f>SUM(N107:N133)</f>
        <v/>
      </c>
      <c r="O134" s="261">
        <f>SUM(O107:O133)</f>
        <v/>
      </c>
      <c r="P134" s="261">
        <f>SUM(P107:P133)</f>
        <v/>
      </c>
      <c r="Q134" s="261">
        <f>SUM(Q107:Q133)</f>
        <v/>
      </c>
      <c r="R134" s="261">
        <f>SUM(R107:R133)</f>
        <v/>
      </c>
      <c r="S134" s="261">
        <f>SUM(S107:S133)</f>
        <v/>
      </c>
      <c r="T134" s="261">
        <f>SUM(T107:T133)</f>
        <v/>
      </c>
      <c r="U134" s="261" t="n"/>
      <c r="V134" s="261" t="n"/>
    </row>
    <row r="135" ht="15" customHeight="1" s="215">
      <c r="A135" s="77" t="inlineStr">
        <is>
          <t>The two scores</t>
        </is>
      </c>
      <c r="B135" s="89" t="inlineStr">
        <is>
          <t>Now</t>
        </is>
      </c>
      <c r="C135" s="89" t="inlineStr">
        <is>
          <t>Future</t>
        </is>
      </c>
    </row>
    <row r="136" ht="24" customHeight="1" s="215">
      <c r="A136" s="76" t="inlineStr">
        <is>
          <t>Sellability score (1-5)</t>
        </is>
      </c>
      <c r="B136" s="90">
        <f>IFERROR($M$134/$N$134,0)</f>
        <v/>
      </c>
      <c r="C136" s="90">
        <f>IFERROR($Q$134/$R$134,0)</f>
        <v/>
      </c>
    </row>
    <row r="137" ht="24" customHeight="1" s="215">
      <c r="A137" s="76" t="inlineStr">
        <is>
          <t>Value score (1-5)</t>
        </is>
      </c>
      <c r="B137" s="90">
        <f>IFERROR($O$134/$P$134,0)</f>
        <v/>
      </c>
      <c r="C137" s="90">
        <f>IFERROR($S$134/$T$134,0)</f>
        <v/>
      </c>
    </row>
  </sheetData>
  <mergeCells count="2">
    <mergeCell ref="D50:G50"/>
    <mergeCell ref="A105:I105"/>
  </mergeCells>
  <dataValidations count="1">
    <dataValidation sqref="D107 D108 D109 D110 D111 D112 D113 D114 D115 D116 D117 D118 D119 D120 D121 D122 D123 D124 D125 D126 D127 D128 D129 D130 D131 D132 D133 E107 E108 E109 E110 E111 E112 E113 E114 E115 E116 E117 E118 E119 E120 E121 E122 E123 E124 E125 E126 E127 E128 E129 E130 E131 E132 E133" showDropDown="0" showInputMessage="0" showErrorMessage="0" allowBlank="0" type="list">
      <formula1>"High impact,Moderate impact,Low impact"</formula1>
    </dataValidation>
  </dataValidations>
  <pageMargins left="0.75" right="0.75" top="1" bottom="1" header="0.5" footer="0.5"/>
</worksheet>
</file>

<file path=xl/worksheets/sheet9.xml><?xml version="1.0" encoding="utf-8"?>
<worksheet xmlns="http://schemas.openxmlformats.org/spreadsheetml/2006/main">
  <sheetPr codeName="Sheet8">
    <outlinePr summaryBelow="1" summaryRight="1"/>
    <pageSetUpPr fitToPage="1"/>
  </sheetPr>
  <dimension ref="A1:O34"/>
  <sheetViews>
    <sheetView zoomScale="139" workbookViewId="0">
      <selection activeCell="C20" sqref="C20:C25"/>
    </sheetView>
  </sheetViews>
  <sheetFormatPr baseColWidth="10" defaultColWidth="9" defaultRowHeight="14"/>
  <cols>
    <col width="8" customWidth="1" style="215" min="1" max="1"/>
    <col width="13.3984375" customWidth="1" style="215" min="2" max="3"/>
    <col width="14" customWidth="1" style="215" min="4" max="4"/>
    <col width="12" customWidth="1" style="215" min="5" max="5"/>
    <col width="10" customWidth="1" style="215" min="6" max="6"/>
    <col width="12" customWidth="1" style="215" min="7" max="7"/>
    <col width="10" customWidth="1" style="215" min="8" max="9"/>
    <col width="13" customWidth="1" style="215" min="10" max="10"/>
    <col width="15" customWidth="1" style="215" min="11" max="11"/>
    <col width="13" customWidth="1" style="215" min="12" max="13"/>
    <col width="9" customWidth="1" style="215" min="14" max="14"/>
    <col width="11" customWidth="1" style="215" min="15" max="15"/>
  </cols>
  <sheetData>
    <row r="1" ht="30" customHeight="1" s="215">
      <c r="A1" s="33" t="inlineStr">
        <is>
          <t>BACKUP</t>
        </is>
      </c>
      <c r="B1" s="33" t="inlineStr">
        <is>
          <t>Revenue floor</t>
        </is>
      </c>
      <c r="C1" s="33" t="inlineStr">
        <is>
          <t>Revenue cap</t>
        </is>
      </c>
      <c r="D1" s="33" t="inlineStr">
        <is>
          <t>Revenue range</t>
        </is>
      </c>
      <c r="E1" s="33" t="inlineStr">
        <is>
          <t>Midpoint</t>
        </is>
      </c>
      <c r="F1" s="33" t="inlineStr">
        <is>
          <t>SDE 10th</t>
        </is>
      </c>
      <c r="G1" s="33" t="inlineStr">
        <is>
          <t>SDE median</t>
        </is>
      </c>
      <c r="H1" s="33" t="inlineStr">
        <is>
          <t>SDE 75th</t>
        </is>
      </c>
      <c r="I1" s="33" t="inlineStr">
        <is>
          <t>SDE 90th</t>
        </is>
      </c>
      <c r="J1" s="33" t="inlineStr">
        <is>
          <t>EBITDA 10th</t>
        </is>
      </c>
      <c r="K1" s="33" t="inlineStr">
        <is>
          <t>EBITDA median</t>
        </is>
      </c>
      <c r="L1" s="33" t="inlineStr">
        <is>
          <t>EBITDA 75th</t>
        </is>
      </c>
      <c r="M1" s="33" t="inlineStr">
        <is>
          <t>EBITDA 90th</t>
        </is>
      </c>
      <c r="N1" s="33" t="inlineStr">
        <is>
          <t>n SDE</t>
        </is>
      </c>
      <c r="O1" s="33" t="inlineStr">
        <is>
          <t>n EBITDA</t>
        </is>
      </c>
    </row>
    <row r="2" ht="40" customHeight="1" s="215">
      <c r="A2" s="272" t="inlineStr">
        <is>
          <t>SIZE CURVE - BACKUP SOURCE. Ten revenue bands from BVR, all industries, 2020 to October 2026. The band matching the revenue supplies the level through its median, one small industry percentage lifts or lowers it, and the other three anchors are placed around the result from the spreads. The three steps are set out below.</t>
        </is>
      </c>
    </row>
    <row r="3" ht="15" customHeight="1" s="215">
      <c r="A3" s="140" t="n">
        <v>1</v>
      </c>
      <c r="B3" s="193" t="n">
        <v>0</v>
      </c>
      <c r="C3" s="193" t="n">
        <v>1000000</v>
      </c>
      <c r="D3" s="140" t="inlineStr">
        <is>
          <t>$0-1M</t>
        </is>
      </c>
      <c r="E3" s="193" t="n">
        <v>500000</v>
      </c>
      <c r="F3" s="194" t="n">
        <v>0.9</v>
      </c>
      <c r="G3" s="194" t="n">
        <v>2</v>
      </c>
      <c r="H3" s="194" t="n">
        <v>2.7</v>
      </c>
      <c r="I3" s="194" t="n">
        <v>3.8</v>
      </c>
      <c r="J3" s="194" t="n">
        <v>1.2</v>
      </c>
      <c r="K3" s="194" t="n">
        <v>2.9</v>
      </c>
      <c r="L3" s="194" t="n">
        <v>4.8</v>
      </c>
      <c r="M3" s="194" t="n">
        <v>9.1</v>
      </c>
      <c r="N3" s="195" t="n">
        <v>8043</v>
      </c>
      <c r="O3" s="195" t="n">
        <v>4364</v>
      </c>
    </row>
    <row r="4" ht="15" customHeight="1" s="215">
      <c r="A4" s="140" t="n">
        <v>2</v>
      </c>
      <c r="B4" s="193" t="n">
        <v>1000000</v>
      </c>
      <c r="C4" s="193" t="n">
        <v>2000000</v>
      </c>
      <c r="D4" s="140" t="inlineStr">
        <is>
          <t>$1-2M</t>
        </is>
      </c>
      <c r="E4" s="193" t="n">
        <v>1500000</v>
      </c>
      <c r="F4" s="194" t="n">
        <v>1.3</v>
      </c>
      <c r="G4" s="194" t="n">
        <v>2.5</v>
      </c>
      <c r="H4" s="194" t="n">
        <v>3.3</v>
      </c>
      <c r="I4" s="194" t="n">
        <v>4.4</v>
      </c>
      <c r="J4" s="194" t="n">
        <v>1.8</v>
      </c>
      <c r="K4" s="194" t="n">
        <v>3.7</v>
      </c>
      <c r="L4" s="194" t="n">
        <v>5.6</v>
      </c>
      <c r="M4" s="194" t="n">
        <v>10.1</v>
      </c>
      <c r="N4" s="195" t="n">
        <v>2755</v>
      </c>
      <c r="O4" s="195" t="n">
        <v>1707</v>
      </c>
    </row>
    <row r="5" ht="15" customHeight="1" s="215">
      <c r="A5" s="140" t="n">
        <v>3</v>
      </c>
      <c r="B5" s="193" t="n">
        <v>2000000</v>
      </c>
      <c r="C5" s="193" t="n">
        <v>4000000</v>
      </c>
      <c r="D5" s="140" t="inlineStr">
        <is>
          <t>$2-4M</t>
        </is>
      </c>
      <c r="E5" s="193" t="n">
        <v>3000000</v>
      </c>
      <c r="F5" s="194" t="n">
        <v>1.5</v>
      </c>
      <c r="G5" s="194" t="n">
        <v>2.8</v>
      </c>
      <c r="H5" s="194" t="n">
        <v>3.7</v>
      </c>
      <c r="I5" s="194" t="n">
        <v>5</v>
      </c>
      <c r="J5" s="194" t="n">
        <v>2</v>
      </c>
      <c r="K5" s="194" t="n">
        <v>4</v>
      </c>
      <c r="L5" s="194" t="n">
        <v>5.9</v>
      </c>
      <c r="M5" s="194" t="n">
        <v>9.4</v>
      </c>
      <c r="N5" s="195" t="n">
        <v>1599</v>
      </c>
      <c r="O5" s="195" t="n">
        <v>1087</v>
      </c>
    </row>
    <row r="6" ht="15" customHeight="1" s="215">
      <c r="A6" s="140" t="n">
        <v>4</v>
      </c>
      <c r="B6" s="193" t="n">
        <v>4000000</v>
      </c>
      <c r="C6" s="193" t="n">
        <v>7000000</v>
      </c>
      <c r="D6" s="140" t="inlineStr">
        <is>
          <t>$4-7M</t>
        </is>
      </c>
      <c r="E6" s="193" t="n">
        <v>5500000</v>
      </c>
      <c r="F6" s="194" t="n">
        <v>1.8</v>
      </c>
      <c r="G6" s="194" t="n">
        <v>3.2</v>
      </c>
      <c r="H6" s="194" t="n">
        <v>4.2</v>
      </c>
      <c r="I6" s="194" t="n">
        <v>5.9</v>
      </c>
      <c r="J6" s="194" t="n">
        <v>2.3</v>
      </c>
      <c r="K6" s="194" t="n">
        <v>4.2</v>
      </c>
      <c r="L6" s="194" t="n">
        <v>6</v>
      </c>
      <c r="M6" s="194" t="n">
        <v>9.9</v>
      </c>
      <c r="N6" s="195" t="n">
        <v>713</v>
      </c>
      <c r="O6" s="195" t="n">
        <v>553</v>
      </c>
    </row>
    <row r="7" ht="15" customHeight="1" s="215">
      <c r="A7" s="140" t="n">
        <v>5</v>
      </c>
      <c r="B7" s="193" t="n">
        <v>7000000</v>
      </c>
      <c r="C7" s="193" t="n">
        <v>15000000</v>
      </c>
      <c r="D7" s="140" t="inlineStr">
        <is>
          <t>$7-15M</t>
        </is>
      </c>
      <c r="E7" s="193" t="n">
        <v>11000000</v>
      </c>
      <c r="F7" s="194" t="n">
        <v>1.8</v>
      </c>
      <c r="G7" s="194" t="n">
        <v>3.5</v>
      </c>
      <c r="H7" s="194" t="n">
        <v>4.9</v>
      </c>
      <c r="I7" s="194" t="n">
        <v>7</v>
      </c>
      <c r="J7" s="194" t="n">
        <v>2.5</v>
      </c>
      <c r="K7" s="194" t="n">
        <v>5</v>
      </c>
      <c r="L7" s="194" t="n">
        <v>8</v>
      </c>
      <c r="M7" s="194" t="n">
        <v>16.3</v>
      </c>
      <c r="N7" s="195" t="n">
        <v>383</v>
      </c>
      <c r="O7" s="195" t="n">
        <v>347</v>
      </c>
    </row>
    <row r="8" ht="15" customHeight="1" s="215">
      <c r="A8" s="140" t="n">
        <v>6</v>
      </c>
      <c r="B8" s="193" t="n">
        <v>15000000</v>
      </c>
      <c r="C8" s="193" t="n">
        <v>25000000</v>
      </c>
      <c r="D8" s="140" t="inlineStr">
        <is>
          <t>$15-25M</t>
        </is>
      </c>
      <c r="E8" s="193" t="n">
        <v>20000000</v>
      </c>
      <c r="F8" s="194" t="n">
        <v>1.9</v>
      </c>
      <c r="G8" s="194" t="n">
        <v>4.1</v>
      </c>
      <c r="H8" s="194" t="n">
        <v>5.8</v>
      </c>
      <c r="I8" s="194" t="n">
        <v>8</v>
      </c>
      <c r="J8" s="194" t="n">
        <v>2.6</v>
      </c>
      <c r="K8" s="194" t="n">
        <v>5.9</v>
      </c>
      <c r="L8" s="194" t="n">
        <v>10.3</v>
      </c>
      <c r="M8" s="194" t="n">
        <v>31.3</v>
      </c>
      <c r="N8" s="195" t="n">
        <v>120</v>
      </c>
      <c r="O8" s="195" t="n">
        <v>139</v>
      </c>
    </row>
    <row r="9" ht="15" customHeight="1" s="215">
      <c r="A9" s="140" t="n">
        <v>7</v>
      </c>
      <c r="B9" s="193" t="n">
        <v>25000000</v>
      </c>
      <c r="C9" s="193" t="n">
        <v>35000000</v>
      </c>
      <c r="D9" s="140" t="inlineStr">
        <is>
          <t>$25-35M</t>
        </is>
      </c>
      <c r="E9" s="193" t="n">
        <v>30000000</v>
      </c>
      <c r="F9" s="194" t="n">
        <v>1.7</v>
      </c>
      <c r="G9" s="194" t="n">
        <v>3.8</v>
      </c>
      <c r="H9" s="194" t="n">
        <v>5.1</v>
      </c>
      <c r="I9" s="194" t="n">
        <v>6.8</v>
      </c>
      <c r="J9" s="194" t="n">
        <v>2.6</v>
      </c>
      <c r="K9" s="194" t="n">
        <v>7.1</v>
      </c>
      <c r="L9" s="194" t="n">
        <v>13.8</v>
      </c>
      <c r="M9" s="194" t="n">
        <v>29.4</v>
      </c>
      <c r="N9" s="195" t="n">
        <v>40</v>
      </c>
      <c r="O9" s="195" t="n">
        <v>82</v>
      </c>
    </row>
    <row r="10" ht="15" customHeight="1" s="215">
      <c r="A10" s="140" t="n">
        <v>8</v>
      </c>
      <c r="B10" s="193" t="n">
        <v>35000000</v>
      </c>
      <c r="C10" s="193" t="n">
        <v>50000000</v>
      </c>
      <c r="D10" s="140" t="inlineStr">
        <is>
          <t>$35-50M</t>
        </is>
      </c>
      <c r="E10" s="193" t="n">
        <v>42500000</v>
      </c>
      <c r="F10" s="194" t="n">
        <v>2.6</v>
      </c>
      <c r="G10" s="194" t="n">
        <v>4.5</v>
      </c>
      <c r="H10" s="194" t="n">
        <v>8</v>
      </c>
      <c r="I10" s="194" t="n">
        <v>9.5</v>
      </c>
      <c r="J10" s="194" t="n">
        <v>3.9</v>
      </c>
      <c r="K10" s="194" t="n">
        <v>12.5</v>
      </c>
      <c r="L10" s="194" t="n">
        <v>20.2</v>
      </c>
      <c r="M10" s="194" t="n">
        <v>40.8</v>
      </c>
      <c r="N10" s="195" t="n">
        <v>24</v>
      </c>
      <c r="O10" s="195" t="n">
        <v>76</v>
      </c>
    </row>
    <row r="11" ht="15" customHeight="1" s="215">
      <c r="A11" s="140" t="n">
        <v>9</v>
      </c>
      <c r="B11" s="193" t="n">
        <v>50000000</v>
      </c>
      <c r="C11" s="193" t="n">
        <v>75000000</v>
      </c>
      <c r="D11" s="140" t="inlineStr">
        <is>
          <t>$50-75M</t>
        </is>
      </c>
      <c r="E11" s="193" t="n">
        <v>62500000</v>
      </c>
      <c r="F11" s="194" t="n">
        <v>2.2</v>
      </c>
      <c r="G11" s="194" t="n">
        <v>4.5</v>
      </c>
      <c r="H11" s="194" t="n">
        <v>8.300000000000001</v>
      </c>
      <c r="I11" s="194" t="n">
        <v>14.2</v>
      </c>
      <c r="J11" s="194" t="n">
        <v>4.3</v>
      </c>
      <c r="K11" s="194" t="n">
        <v>11</v>
      </c>
      <c r="L11" s="194" t="n">
        <v>19.1</v>
      </c>
      <c r="M11" s="194" t="n">
        <v>36.2</v>
      </c>
      <c r="N11" s="195" t="n">
        <v>13</v>
      </c>
      <c r="O11" s="195" t="n">
        <v>93</v>
      </c>
    </row>
    <row r="12" ht="15" customHeight="1" s="215">
      <c r="A12" s="140" t="n">
        <v>10</v>
      </c>
      <c r="B12" s="193" t="n">
        <v>75000000</v>
      </c>
      <c r="C12" s="193" t="n">
        <v>100000000</v>
      </c>
      <c r="D12" s="140" t="inlineStr">
        <is>
          <t>$75-100M</t>
        </is>
      </c>
      <c r="E12" s="193" t="n">
        <v>87500000</v>
      </c>
      <c r="F12" s="194" t="n">
        <v>1.9</v>
      </c>
      <c r="G12" s="194" t="n">
        <v>2</v>
      </c>
      <c r="H12" s="194" t="n">
        <v>2</v>
      </c>
      <c r="I12" s="194" t="n">
        <v>2</v>
      </c>
      <c r="J12" s="194" t="n">
        <v>3.9</v>
      </c>
      <c r="K12" s="194" t="n">
        <v>12.7</v>
      </c>
      <c r="L12" s="194" t="n">
        <v>21.3</v>
      </c>
      <c r="M12" s="194" t="n">
        <v>43.7</v>
      </c>
      <c r="N12" s="195" t="n">
        <v>2</v>
      </c>
      <c r="O12" s="195" t="n">
        <v>71</v>
      </c>
    </row>
    <row r="13" ht="15" customHeight="1" s="215">
      <c r="A13" s="261" t="n"/>
      <c r="B13" s="203" t="n"/>
      <c r="C13" s="203" t="n"/>
      <c r="D13" s="261" t="n"/>
      <c r="E13" s="203" t="n"/>
      <c r="F13" s="204" t="n"/>
      <c r="G13" s="204" t="n"/>
      <c r="H13" s="204" t="n"/>
      <c r="I13" s="204" t="n"/>
      <c r="J13" s="204" t="n"/>
      <c r="K13" s="204" t="n"/>
      <c r="L13" s="204" t="n"/>
      <c r="M13" s="204" t="n"/>
      <c r="N13" s="205" t="n"/>
      <c r="O13" s="205" t="n"/>
    </row>
    <row r="14" ht="34" customHeight="1" s="215">
      <c r="A14" s="272" t="inlineStr">
        <is>
          <t>All-industry figures split by revenue size, from BVR. Deal counts are in the last two columns - hundreds to thousands in every band a client of this size would fall into.</t>
        </is>
      </c>
    </row>
    <row r="15" ht="15" customHeight="1" s="215">
      <c r="A15" s="261" t="n"/>
      <c r="B15" s="203" t="n"/>
      <c r="C15" s="203" t="n"/>
      <c r="D15" s="261" t="n"/>
      <c r="E15" s="203" t="n"/>
      <c r="F15" s="204" t="n"/>
      <c r="G15" s="204" t="n"/>
      <c r="H15" s="204" t="n"/>
      <c r="I15" s="204" t="n"/>
      <c r="J15" s="204" t="n"/>
      <c r="K15" s="204" t="n"/>
      <c r="L15" s="204" t="n"/>
      <c r="M15" s="204" t="n"/>
      <c r="N15" s="205" t="n"/>
      <c r="O15" s="205" t="n"/>
    </row>
    <row r="16" ht="24" customHeight="1" s="215">
      <c r="A16" s="273" t="inlineStr">
        <is>
          <t>How the backup works - three steps</t>
        </is>
      </c>
    </row>
    <row r="17" ht="30" customHeight="1" s="215">
      <c r="A17" s="271" t="inlineStr">
        <is>
          <t>Step 1 - the band gives the numbers</t>
        </is>
      </c>
      <c r="B17" s="211" t="n"/>
      <c r="C17" s="211" t="n"/>
      <c r="D17" s="209" t="n"/>
      <c r="E17" s="271" t="inlineStr">
        <is>
          <t>Step 2 - one small percentage</t>
        </is>
      </c>
      <c r="F17" s="211" t="n"/>
      <c r="G17" s="211" t="n"/>
      <c r="H17" s="209" t="n"/>
      <c r="I17" s="271" t="inlineStr">
        <is>
          <t>Step 3 - apply it to every anchor</t>
        </is>
      </c>
      <c r="J17" s="211" t="n"/>
      <c r="K17" s="209" t="n"/>
      <c r="L17" s="271" t="inlineStr">
        <is>
          <t>The one condition</t>
        </is>
      </c>
      <c r="M17" s="211" t="n"/>
      <c r="N17" s="211" t="n"/>
      <c r="O17" s="209" t="n"/>
    </row>
    <row r="18" ht="175" customHeight="1" s="215">
      <c r="A18" s="249" t="inlineStr">
        <is>
          <t>The revenue picks one of the ten bands above. That band's median is the level - a real median from hundreds of deals, already matched to the size of the business. The band's 10th, 75th and 90th are not used as numbers; they are used in step 3 as one of the two candidate shapes.</t>
        </is>
      </c>
      <c r="B18" s="211" t="n"/>
      <c r="C18" s="211" t="n"/>
      <c r="D18" s="209" t="n"/>
      <c r="E18" s="249" t="inlineStr">
        <is>
          <t>The industry's median divided by the all-industry median, both across ALL deal sizes so they are comparable.
Example:   industry median 5.40x  /  all industries 3.715x  =  1.454
About 45% above the norm. It can go either way, and is held between 0.60 and 1.60. The two benchmarks are on Assumptions: 2.235x for SDE, 3.715x for EBITDA.</t>
        </is>
      </c>
      <c r="F18" s="211" t="n"/>
      <c r="G18" s="211" t="n"/>
      <c r="H18" s="209" t="n"/>
      <c r="I18" s="249" t="inlineStr">
        <is>
          <t>The band's median is multiplied by that percentage. The other three anchors are then placed around the result using the more conservative of the industry's own spread and the band's, each measured against its own median.
Example, carrying the 1.454 above:
$1-2M band, EBITDA median   3.70x  x  1.454  =  5.38x
10th      5.38  x  0.389   (industry spread)     2.09
median                                        5.38
75th      5.38  x  1.514   (band spread)         8.14
90th      5.38  x  2.730   (band spread)      14.68
Score 1 stays a flat 0.5x and is never adjusted. Which of the two spreads was used is named on the Engine tab.</t>
        </is>
      </c>
      <c r="J18" s="211" t="n"/>
      <c r="K18" s="209" t="n"/>
      <c r="L18" s="249" t="inlineStr">
        <is>
          <t>The pull used in step 2 must be an ALL-SIZES pull. One already filtered to a revenue band is not comparable to the all-industry median and produces a wild adjustment.
When a revenue-matched pull exists it is the primary source and this backup is switched off on Assumptions. The allowed range there, 0.60 to 1.60, catches the mistake.</t>
        </is>
      </c>
      <c r="M18" s="211" t="n"/>
      <c r="N18" s="211" t="n"/>
      <c r="O18" s="209" t="n"/>
    </row>
    <row r="19">
      <c r="A19" s="261" t="n"/>
      <c r="B19" s="261" t="n"/>
      <c r="C19" s="261" t="n"/>
      <c r="D19" s="261" t="n"/>
      <c r="E19" s="261" t="n"/>
      <c r="F19" s="261" t="n"/>
      <c r="G19" s="261" t="n"/>
      <c r="H19" s="261" t="n"/>
      <c r="I19" s="261" t="n"/>
      <c r="J19" s="261" t="n"/>
      <c r="K19" s="261" t="n"/>
      <c r="L19" s="261" t="n"/>
      <c r="M19" s="261" t="n"/>
      <c r="N19" s="261" t="n"/>
      <c r="O19" s="261" t="n"/>
    </row>
    <row r="20">
      <c r="A20" s="261" t="n"/>
      <c r="B20" s="261" t="n"/>
      <c r="C20" s="261" t="n"/>
      <c r="D20" s="261" t="n"/>
      <c r="E20" s="261" t="n"/>
      <c r="F20" s="261" t="n"/>
      <c r="G20" s="261" t="n"/>
      <c r="H20" s="261" t="n"/>
      <c r="I20" s="261" t="n"/>
      <c r="J20" s="261" t="n"/>
      <c r="K20" s="261" t="n"/>
      <c r="L20" s="261" t="n"/>
      <c r="M20" s="261" t="n"/>
      <c r="N20" s="261" t="n"/>
      <c r="O20" s="261" t="n"/>
    </row>
    <row r="21">
      <c r="A21" s="261" t="n"/>
      <c r="B21" s="261" t="n"/>
      <c r="C21" s="261" t="n"/>
      <c r="D21" s="261" t="n"/>
      <c r="E21" s="261" t="n"/>
      <c r="F21" s="261" t="n"/>
      <c r="G21" s="261" t="n"/>
      <c r="H21" s="261" t="n"/>
      <c r="I21" s="261" t="n"/>
      <c r="J21" s="261" t="n"/>
      <c r="K21" s="261" t="n"/>
      <c r="L21" s="261" t="n"/>
      <c r="M21" s="261" t="n"/>
      <c r="N21" s="261" t="n"/>
      <c r="O21" s="261" t="n"/>
    </row>
    <row r="22">
      <c r="A22" s="261" t="n"/>
      <c r="B22" s="261" t="n"/>
      <c r="C22" s="261" t="n"/>
      <c r="D22" s="261" t="n"/>
      <c r="E22" s="261" t="n"/>
      <c r="F22" s="261" t="n"/>
      <c r="G22" s="261" t="n"/>
      <c r="H22" s="261" t="n"/>
      <c r="I22" s="261" t="n"/>
      <c r="J22" s="261" t="n"/>
      <c r="K22" s="261" t="n"/>
      <c r="L22" s="261" t="n"/>
      <c r="M22" s="261" t="n"/>
      <c r="N22" s="261" t="n"/>
      <c r="O22" s="261" t="n"/>
    </row>
    <row r="23">
      <c r="A23" s="261" t="n"/>
      <c r="B23" s="261" t="n"/>
      <c r="C23" s="261" t="n"/>
      <c r="D23" s="261" t="n"/>
      <c r="E23" s="261" t="n"/>
      <c r="F23" s="261" t="n"/>
      <c r="G23" s="261" t="n"/>
      <c r="H23" s="261" t="n"/>
      <c r="I23" s="261" t="n"/>
      <c r="J23" s="261" t="n"/>
      <c r="K23" s="261" t="n"/>
      <c r="L23" s="261" t="n"/>
      <c r="M23" s="261" t="n"/>
      <c r="N23" s="261" t="n"/>
      <c r="O23" s="261" t="n"/>
    </row>
    <row r="24">
      <c r="A24" s="4" t="n"/>
    </row>
    <row r="25" ht="60" customHeight="1" s="215">
      <c r="A25" s="32" t="n"/>
    </row>
    <row r="26"/>
    <row r="27">
      <c r="A27" s="4" t="n"/>
    </row>
    <row r="28" ht="60" customHeight="1" s="215">
      <c r="A28" s="32" t="n"/>
    </row>
    <row r="29"/>
    <row r="30">
      <c r="A30" s="4" t="n"/>
    </row>
    <row r="31" ht="60" customHeight="1" s="215">
      <c r="A31" s="32" t="n"/>
    </row>
    <row r="32"/>
    <row r="33">
      <c r="A33" s="4" t="n"/>
    </row>
    <row r="34" ht="60" customHeight="1" s="215">
      <c r="A34" s="32" t="n"/>
    </row>
  </sheetData>
  <mergeCells count="11">
    <mergeCell ref="A17:D17"/>
    <mergeCell ref="A18:D18"/>
    <mergeCell ref="E17:H17"/>
    <mergeCell ref="E18:H18"/>
    <mergeCell ref="A2:O2"/>
    <mergeCell ref="A16:O16"/>
    <mergeCell ref="L17:O17"/>
    <mergeCell ref="A14:O14"/>
    <mergeCell ref="I17:K17"/>
    <mergeCell ref="I18:K18"/>
    <mergeCell ref="L18:O18"/>
  </mergeCells>
  <pageMargins left="0.75" right="0.75" top="1" bottom="1" header="0.5" footer="0.5"/>
  <pageSetup orientation="landscape" fitToHeight="0"/>
</worksheet>
</file>

<file path=xl/worksheets/sheet10.xml><?xml version="1.0" encoding="utf-8"?>
<worksheet xmlns="http://schemas.openxmlformats.org/spreadsheetml/2006/main">
  <sheetPr codeName="Sheet9">
    <outlinePr summaryBelow="1" summaryRight="1"/>
    <pageSetUpPr/>
  </sheetPr>
  <dimension ref="A1:D44"/>
  <sheetViews>
    <sheetView showGridLines="0" zoomScale="139" workbookViewId="0">
      <selection activeCell="G25" sqref="G25"/>
    </sheetView>
  </sheetViews>
  <sheetFormatPr baseColWidth="10" defaultColWidth="9" defaultRowHeight="14"/>
  <cols>
    <col width="46" customWidth="1" style="215" min="1" max="1"/>
    <col width="18.3984375" customWidth="1" style="215" min="2" max="2"/>
    <col width="22" customWidth="1" style="215" min="3" max="3"/>
    <col width="32" customWidth="1" style="215" min="4" max="4"/>
  </cols>
  <sheetData>
    <row r="1" ht="34" customHeight="1" s="215">
      <c r="A1" s="53" t="inlineStr">
        <is>
          <t>Assumptions</t>
        </is>
      </c>
      <c r="B1" s="53" t="n"/>
      <c r="C1" s="53" t="n"/>
    </row>
    <row r="2" ht="8" customHeight="1" s="215"/>
    <row r="3" ht="26" customHeight="1" s="215">
      <c r="A3" s="54" t="inlineStr">
        <is>
          <t>Score to percentile</t>
        </is>
      </c>
      <c r="B3" s="54" t="n"/>
      <c r="C3" s="54" t="n"/>
    </row>
    <row r="4" ht="28" customHeight="1" s="215">
      <c r="A4" s="58" t="inlineStr">
        <is>
          <t>Composite (1-5)</t>
        </is>
      </c>
      <c r="B4" s="59" t="inlineStr">
        <is>
          <t>Percentile</t>
        </is>
      </c>
      <c r="C4" s="59" t="n"/>
    </row>
    <row r="5" ht="24" customHeight="1" s="215">
      <c r="A5" s="55" t="n">
        <v>1</v>
      </c>
      <c r="B5" s="61" t="n">
        <v>0</v>
      </c>
      <c r="C5" s="56" t="n"/>
    </row>
    <row r="6" ht="24" customHeight="1" s="215">
      <c r="A6" s="55" t="n">
        <v>1.5</v>
      </c>
      <c r="B6" s="61" t="n">
        <v>10</v>
      </c>
      <c r="C6" s="56" t="n"/>
    </row>
    <row r="7" ht="24" customHeight="1" s="215">
      <c r="A7" s="55" t="n">
        <v>2.5</v>
      </c>
      <c r="B7" s="61" t="n">
        <v>50</v>
      </c>
      <c r="C7" s="160" t="inlineStr">
        <is>
          <t>Highest percentile the answers alone can reach</t>
        </is>
      </c>
      <c r="D7" s="161" t="n">
        <v>75</v>
      </c>
    </row>
    <row r="8" ht="24" customHeight="1" s="215">
      <c r="A8" s="55" t="n">
        <v>5</v>
      </c>
      <c r="B8" s="61" t="n">
        <v>75</v>
      </c>
      <c r="C8" s="56" t="n"/>
    </row>
    <row r="9" ht="24" customHeight="1" s="215">
      <c r="A9" s="55" t="n">
        <v>6</v>
      </c>
      <c r="B9" s="61" t="n">
        <v>90</v>
      </c>
      <c r="C9" s="162" t="inlineStr">
        <is>
          <t>Preparation removes a discount, it does not create a premium. The top decile is a different business - bigger, faster growing, with a structural advantage the answer sheet cannot show. Growth still lifts the valuation, through earnings rather than through the multiple.</t>
        </is>
      </c>
    </row>
    <row r="10" ht="48" customHeight="1" s="215">
      <c r="A10" s="57" t="inlineStr">
        <is>
          <t>Score 1 reads the distressed floor. Scores in between are read off a straight line between the two anchors either side. The score column is what was re-anchored: a perfect 5 lands on the 75th. The 90th row stays because the percentile column also labels the industry multiples, and it is now out of reach - no score can get there.</t>
        </is>
      </c>
      <c r="B10" s="57" t="n"/>
      <c r="C10" s="57" t="n"/>
    </row>
    <row r="11" ht="26" customHeight="1" s="215">
      <c r="A11" s="54" t="inlineStr">
        <is>
          <t>Gates</t>
        </is>
      </c>
      <c r="B11" s="54" t="n"/>
      <c r="C11" s="54" t="n"/>
    </row>
    <row r="12" ht="24" customHeight="1" s="215">
      <c r="A12" s="55" t="inlineStr">
        <is>
          <t>Deal-killers do not cap the percentile</t>
        </is>
      </c>
      <c r="B12" s="61" t="n"/>
      <c r="C12" s="56" t="n"/>
    </row>
    <row r="13" ht="24" customHeight="1" s="215">
      <c r="A13" s="55" t="inlineStr">
        <is>
          <t>Each tripped deal-killer takes its own percentage of what is left</t>
        </is>
      </c>
      <c r="B13" s="61" t="n"/>
      <c r="C13" s="56" t="n"/>
    </row>
    <row r="14" ht="24" customHeight="1" s="215">
      <c r="A14" s="55" t="inlineStr">
        <is>
          <t>The percentages sit on the Questions tab, one per deal-killer question. The count of deal-killers also sets a ceiling on the tier: 1 stops at High, 2 at Low, 3 or more at Not Sellable</t>
        </is>
      </c>
      <c r="B14" s="66" t="n"/>
      <c r="C14" s="56" t="n"/>
    </row>
    <row r="15" ht="26" customHeight="1" s="215">
      <c r="A15" s="54" t="inlineStr">
        <is>
          <t>Multiple source</t>
        </is>
      </c>
      <c r="B15" s="54" t="n"/>
      <c r="C15" s="54" t="n"/>
    </row>
    <row r="16" ht="24" customHeight="1" s="215">
      <c r="A16" s="55" t="inlineStr">
        <is>
          <t>Source in use</t>
        </is>
      </c>
      <c r="B16" s="61">
        <f>IF('Industry Data'!$B$11="Force Size Curve","Size Curve backup",IF('Industry Data'!$B$11="Force Industry Data","Industry Data",IF('Industry Data'!$B$10="","Size Curve backup","Industry Data")))</f>
        <v/>
      </c>
      <c r="C16" s="56" t="n"/>
    </row>
    <row r="17" ht="24" customHeight="1" s="215">
      <c r="A17" s="55" t="inlineStr">
        <is>
          <t>Distressed floor multiple</t>
        </is>
      </c>
      <c r="B17" s="62" t="n">
        <v>0.5</v>
      </c>
      <c r="C17" s="56" t="n"/>
    </row>
    <row r="18" ht="8" customHeight="1" s="215"/>
    <row r="19" ht="26" customHeight="1" s="215">
      <c r="A19" s="54" t="inlineStr">
        <is>
          <t>Sellability tiers</t>
        </is>
      </c>
      <c r="B19" s="54" t="n"/>
      <c r="C19" s="54" t="n"/>
    </row>
    <row r="20" ht="28" customHeight="1" s="215">
      <c r="A20" s="58" t="inlineStr">
        <is>
          <t>Score floor</t>
        </is>
      </c>
      <c r="B20" s="59" t="inlineStr">
        <is>
          <t>Tier</t>
        </is>
      </c>
      <c r="C20" s="59" t="inlineStr">
        <is>
          <t>Probability of sale</t>
        </is>
      </c>
      <c r="D20" s="107" t="inlineStr">
        <is>
          <t>Probability of sale, in words</t>
        </is>
      </c>
    </row>
    <row r="21" ht="24" customHeight="1" s="215">
      <c r="A21" s="69" t="n">
        <v>0</v>
      </c>
      <c r="B21" s="56" t="inlineStr">
        <is>
          <t>Not Sellable</t>
        </is>
      </c>
      <c r="C21" s="66" t="n">
        <v>0.05</v>
      </c>
      <c r="D21" s="108" t="inlineStr">
        <is>
          <t>Very low probability of sale</t>
        </is>
      </c>
    </row>
    <row r="22" ht="24" customHeight="1" s="215">
      <c r="A22" s="69" t="n">
        <v>2.5</v>
      </c>
      <c r="B22" s="56" t="inlineStr">
        <is>
          <t>Low Sellability</t>
        </is>
      </c>
      <c r="C22" s="66" t="n">
        <v>0.15</v>
      </c>
      <c r="D22" s="108" t="inlineStr">
        <is>
          <t>Low probability of sale</t>
        </is>
      </c>
    </row>
    <row r="23" ht="24" customHeight="1" s="215">
      <c r="A23" s="69" t="n">
        <v>3</v>
      </c>
      <c r="B23" s="56" t="inlineStr">
        <is>
          <t>Moderate Sellability</t>
        </is>
      </c>
      <c r="C23" s="66" t="n">
        <v>0.3</v>
      </c>
      <c r="D23" s="108" t="inlineStr">
        <is>
          <t>Moderate probability of sale</t>
        </is>
      </c>
    </row>
    <row r="24" ht="24" customHeight="1" s="215">
      <c r="A24" s="69" t="n">
        <v>3.5</v>
      </c>
      <c r="B24" s="56" t="inlineStr">
        <is>
          <t>High Sellability</t>
        </is>
      </c>
      <c r="C24" s="66" t="n">
        <v>0.5</v>
      </c>
      <c r="D24" s="108" t="inlineStr">
        <is>
          <t>High probability of sale</t>
        </is>
      </c>
    </row>
    <row r="25" ht="24" customHeight="1" s="215">
      <c r="A25" s="55" t="n">
        <v>4.3</v>
      </c>
      <c r="B25" s="56" t="inlineStr">
        <is>
          <t>Certified Exit-Ready</t>
        </is>
      </c>
      <c r="C25" s="66" t="n">
        <v>0.75</v>
      </c>
      <c r="D25" s="108" t="inlineStr">
        <is>
          <t>Very high probability of sale</t>
        </is>
      </c>
    </row>
    <row r="26" ht="34" customHeight="1" s="215">
      <c r="A26" s="54" t="inlineStr">
        <is>
          <t>Size Curve backup - the benchmark medians</t>
        </is>
      </c>
      <c r="B26" s="54" t="n"/>
      <c r="C26" s="54" t="n"/>
    </row>
    <row r="27" ht="24" customHeight="1" s="215">
      <c r="A27" s="55" t="inlineStr">
        <is>
          <t>All-industry median, all deal sizes - SDE</t>
        </is>
      </c>
      <c r="B27" s="62" t="n">
        <v>2.235</v>
      </c>
      <c r="C27" s="56" t="n"/>
    </row>
    <row r="28" ht="24" customHeight="1" s="215">
      <c r="A28" s="55" t="inlineStr">
        <is>
          <t>All-industry median, all deal sizes - EBITDA</t>
        </is>
      </c>
      <c r="B28" s="62" t="n">
        <v>3.715</v>
      </c>
      <c r="C28" s="56" t="n"/>
    </row>
    <row r="29" ht="24" customHeight="1" s="215">
      <c r="A29" s="55" t="inlineStr">
        <is>
          <t>Industry adjustment - lowest allowed</t>
        </is>
      </c>
      <c r="B29" s="60" t="n">
        <v>0.6</v>
      </c>
      <c r="C29" s="56" t="n"/>
    </row>
    <row r="30" ht="24" customHeight="1" s="215">
      <c r="A30" s="55" t="inlineStr">
        <is>
          <t>Industry adjustment - highest allowed</t>
        </is>
      </c>
      <c r="B30" s="60" t="n">
        <v>1.6</v>
      </c>
      <c r="C30" s="56" t="n"/>
    </row>
    <row r="31" ht="8" customHeight="1" s="215"/>
    <row r="32" ht="48" customHeight="1" s="215">
      <c r="A32" s="57" t="inlineStr">
        <is>
          <t>The two medians are every recorded deal across every industry, weighted by how many deals sit in each profit band. They are the benchmark the industry is compared against, and they only change if the BVR size bands are re-pulled.</t>
        </is>
      </c>
      <c r="B32" s="57" t="n"/>
      <c r="C32" s="57" t="n"/>
    </row>
    <row r="33" ht="8" customHeight="1" s="215"/>
    <row r="34" ht="51" customHeight="1" s="215">
      <c r="A34" s="54" t="inlineStr">
        <is>
          <t>Future state schedule - how many answers up the list a suggestion moves</t>
        </is>
      </c>
      <c r="B34" s="54" t="inlineStr">
        <is>
          <t>Deal-killer questions</t>
        </is>
      </c>
      <c r="C34" s="54" t="inlineStr">
        <is>
          <t>Every other question</t>
        </is>
      </c>
    </row>
    <row r="35" ht="24" customHeight="1" s="215">
      <c r="A35" s="55" t="inlineStr">
        <is>
          <t>12 months</t>
        </is>
      </c>
      <c r="B35" s="61" t="n">
        <v>1</v>
      </c>
      <c r="C35" s="61" t="n">
        <v>1</v>
      </c>
    </row>
    <row r="36" ht="24" customHeight="1" s="215">
      <c r="A36" s="55" t="inlineStr">
        <is>
          <t>18 months</t>
        </is>
      </c>
      <c r="B36" s="61" t="n">
        <v>3</v>
      </c>
      <c r="C36" s="61" t="n">
        <v>1</v>
      </c>
    </row>
    <row r="37" ht="24" customHeight="1" s="215">
      <c r="A37" s="55" t="inlineStr">
        <is>
          <t>24 months</t>
        </is>
      </c>
      <c r="B37" s="61" t="n">
        <v>3</v>
      </c>
      <c r="C37" s="61" t="n">
        <v>2</v>
      </c>
    </row>
    <row r="38" ht="24" customHeight="1" s="215">
      <c r="A38" s="55" t="inlineStr">
        <is>
          <t>36 months</t>
        </is>
      </c>
      <c r="B38" s="61" t="n">
        <v>3</v>
      </c>
      <c r="C38" s="61" t="n">
        <v>3</v>
      </c>
    </row>
    <row r="39"/>
    <row r="40" ht="17" customHeight="1" s="215">
      <c r="A40" s="124" t="inlineStr">
        <is>
          <t>Regional risk discount on the multiple</t>
        </is>
      </c>
      <c r="B40" s="108" t="n"/>
    </row>
    <row r="41" ht="17" customHeight="1" s="215">
      <c r="A41" s="125" t="inlineStr">
        <is>
          <t>Region</t>
        </is>
      </c>
      <c r="B41" s="126" t="inlineStr">
        <is>
          <t>Discount</t>
        </is>
      </c>
    </row>
    <row r="42" ht="15" customHeight="1" s="215">
      <c r="A42" s="121" t="inlineStr">
        <is>
          <t>USA</t>
        </is>
      </c>
      <c r="B42" s="127" t="n">
        <v>0</v>
      </c>
    </row>
    <row r="43" ht="15" customHeight="1" s="215">
      <c r="A43" s="121" t="inlineStr">
        <is>
          <t>Developed World</t>
        </is>
      </c>
      <c r="B43" s="127" t="n">
        <v>0.15</v>
      </c>
    </row>
    <row r="44" ht="15" customHeight="1" s="215">
      <c r="A44" s="121" t="inlineStr">
        <is>
          <t>Developing World</t>
        </is>
      </c>
      <c r="B44" s="127" t="n">
        <v>0.3</v>
      </c>
    </row>
  </sheetData>
  <pageMargins left="0.75" right="0.75" top="1" bottom="1" header="0.5" footer="0.5"/>
</worksheet>
</file>

<file path=xl/worksheets/sheet11.xml><?xml version="1.0" encoding="utf-8"?>
<worksheet xmlns="http://schemas.openxmlformats.org/spreadsheetml/2006/main">
  <sheetPr codeName="Sheet10">
    <outlinePr summaryBelow="1" summaryRight="1"/>
    <pageSetUpPr/>
  </sheetPr>
  <dimension ref="A1:B28"/>
  <sheetViews>
    <sheetView zoomScale="139" workbookViewId="0">
      <selection activeCell="B26" sqref="B26"/>
    </sheetView>
  </sheetViews>
  <sheetFormatPr baseColWidth="10" defaultColWidth="9" defaultRowHeight="14"/>
  <cols>
    <col width="34" customWidth="1" style="215" min="1" max="1"/>
    <col width="104" customWidth="1" style="215" min="2" max="2"/>
  </cols>
  <sheetData>
    <row r="1" ht="45" customHeight="1" s="215">
      <c r="A1" s="1" t="inlineStr">
        <is>
          <t>Rules</t>
        </is>
      </c>
      <c r="B1" s="3" t="n"/>
    </row>
    <row r="2"/>
    <row r="3" ht="42" customHeight="1" s="215">
      <c r="A3" s="4" t="inlineStr">
        <is>
          <t>What this is</t>
        </is>
      </c>
      <c r="B3" s="4" t="inlineStr">
        <is>
          <t>A rough valuation from a 60-minute conversation. It is not a valuation report and it is not a recast of the accounts.</t>
        </is>
      </c>
    </row>
    <row r="4" ht="42" customHeight="1" s="215">
      <c r="A4" s="4" t="inlineStr">
        <is>
          <t>Two earnings paths</t>
        </is>
      </c>
      <c r="B4" s="4" t="inlineStr">
        <is>
          <t>The owner gives operating profit or EBITDA - never both. Operating profit plus depreciation plus the owner's payroll salary gives Seller's Discretionary Earnings (SDE), valued on the SDE multiple. EBITDA is valued on the EBITDA multiple. The two are never mixed, and the sheet states which is in use.</t>
        </is>
      </c>
    </row>
    <row r="5" ht="42" customHeight="1" s="215">
      <c r="A5" s="4" t="inlineStr">
        <is>
          <t>What SDE excludes here</t>
        </is>
      </c>
      <c r="B5" s="4" t="inlineStr">
        <is>
          <t>Discretionary and non-recurring add-backs. Only the owner's payroll salary is added back, because it is the largest item and the one nobody disputes. The figure therefore sits below a full recast, which means the valuation errs low.</t>
        </is>
      </c>
    </row>
    <row r="6" ht="42" customHeight="1" s="215">
      <c r="A6" s="4" t="inlineStr">
        <is>
          <t>Where the multiple comes from</t>
        </is>
      </c>
      <c r="B6" s="4" t="inlineStr">
        <is>
          <t>Comparable transactions for this industry, pulled from BVR and filtered to the revenue band the business sits in. That table is the valuation: the score reads its 10th percentile, median and 75th directly. The 90th is shown for context, and no score can reach it - see What the score does.</t>
        </is>
      </c>
    </row>
    <row r="7" ht="42" customHeight="1" s="215">
      <c r="A7" s="4" t="inlineStr">
        <is>
          <t>What the score does</t>
        </is>
      </c>
      <c r="B7" s="4" t="inlineStr">
        <is>
          <t>The answers roll into six drivers and two weighted scores from 1 to 5. Sellability drives the tier and the probability of sale. Value drives the percentile and the multiple. A score of 1 reads the distressed floor, 1.5 the 10th percentile, 2.5 the median, and a perfect 5 the 75th. Scores in between are read off a straight line between the two anchors either side. Nothing reaches the 90th. Preparation removes a discount, it does not create a premium: the top decile is a different business - bigger, faster growing, with a structural advantage the answers cannot show. Growth still lifts the valuation, through earnings rather than through the multiple.</t>
        </is>
      </c>
    </row>
    <row r="8" ht="42" customHeight="1" s="215">
      <c r="A8" s="4" t="inlineStr">
        <is>
          <t>Matching the data to the size of the business</t>
        </is>
      </c>
      <c r="B8" s="4" t="inlineStr">
        <is>
          <t>The industry pull is filtered to the business's revenue band and the range used is recorded on Industry Data. Pull a fresh set for every client. If the pull is all-sizes, leave that range empty and the switch beside it on Automatic - the model treats the pull as all-sizes and uses the Size Curve backup. Force Industry Data and Force Size Curve override it, and the Engine says which is live.</t>
        </is>
      </c>
    </row>
    <row r="9" ht="42" customHeight="1" s="215">
      <c r="A9" s="4" t="inlineStr">
        <is>
          <t>Size Curve backup</t>
        </is>
      </c>
      <c r="B9" s="4" t="inlineStr">
        <is>
          <t>For the case where an industry pull only has enough deals when taken across ALL sizes. The revenue band matching the revenue supplies the level through its median, and one industry percentage - the industry median divided by the all-industry median - lifts or lowers it. The 10th, 75th and 90th are then set from that median using the LOWER of the industry's own spread and the band's, each measured against its own median, so the backup can never widen the spread. If the pull holds fewer than thirty deals its own spread is noise, so the band's is used alone. The Engine names which of the two was used.</t>
        </is>
      </c>
    </row>
    <row r="10" ht="60" customHeight="1" s="215">
      <c r="A10" s="4" t="inlineStr">
        <is>
          <t>Fatal flaw gates</t>
        </is>
      </c>
      <c r="B10" s="4" t="inlineStr">
        <is>
          <t>Eleven questions can sink a deal on their own - owner dependence, customer concentration, reporting quality, assignable contracts and others. Answering one at its worst is a deal-killer. A deal-killer does not touch the score and does not cap the percentile. Each one takes its own percentage off the multiple, compounding - the second takes its share of what the first left, so the order makes no difference. The percentages run from 25% down to 10%, heaviest on owner dependence and customer concentration, and sit in a hidden column on the Questions tab beside each question. Separately, the count of tripped deal-killers sets a ceiling on the sellability tier: one cannot go above High Sellability, two cannot go above Low Sellability, three or more is Not Sellable. It is a ceiling and not a penalty, so a weak score stays weak and nothing is promoted.</t>
        </is>
      </c>
    </row>
    <row r="11" ht="42" customHeight="1" s="215">
      <c r="A11" s="4" t="inlineStr">
        <is>
          <t>N/A</t>
        </is>
      </c>
      <c r="B11" s="4" t="inlineStr">
        <is>
          <t>Answering N/A removes that question from its driver average entirely. It is not scored as zero and it never counts as a fatal flaw.</t>
        </is>
      </c>
    </row>
    <row r="12" ht="42" customHeight="1" s="215">
      <c r="A12" s="4" t="inlineStr">
        <is>
          <t>The floor</t>
        </is>
      </c>
      <c r="B12" s="4" t="inlineStr">
        <is>
          <t>Score 1 is a flat 0.5x - a distressed sale, where the buyer is paying for the client list and the equipment rather than the earnings. The multiple never falls below it. Whether anyone buys at all is the sellability tier, not the multiple: every transaction in the data closed, so businesses nobody would buy are absent from it.</t>
        </is>
      </c>
    </row>
    <row r="13" ht="42" customHeight="1" s="215">
      <c r="A13" s="4" t="inlineStr">
        <is>
          <t>Sellability tiers</t>
        </is>
      </c>
      <c r="B13" s="4" t="inlineStr">
        <is>
          <t>Each tier carries a probability of sale. Expected proceeds is value multiplied by that probability - the honest number for a business that may never sell. The score sets the tier, and the count of tripped deal-killers sets a ceiling it cannot rise above - one deal-killer stops at High Sellability 50%, two at Low Sellability 15%, three or more at Not Sellable 5%. The four thresholds, the four probabilities and the three ceilings are judgment, not measured, and are listed on the Engine tab.</t>
        </is>
      </c>
    </row>
    <row r="14" ht="42" customHeight="1" s="215">
      <c r="A14" s="4" t="inlineStr">
        <is>
          <t>The three states</t>
        </is>
      </c>
      <c r="B14" s="4" t="inlineStr">
        <is>
          <t>Current is today, from Intake. Future is built on the Value Acceleration tab from three targets. Desired is the sale price the owner says they want, typed on Intake. The Value Acceleration tab is the live client view; Value Creation is an alternative kept in the file.</t>
        </is>
      </c>
    </row>
    <row r="15" ht="42" customHeight="1" s="215">
      <c r="A15" s="4" t="inlineStr">
        <is>
          <t>Value Acceleration</t>
        </is>
      </c>
      <c r="B15" s="4" t="inlineStr">
        <is>
          <t>A standalone what-if. Current revenue, earnings and multiple come from Intake and the Engine. The future state comes from three targets set in 5% steps from minus 30% to plus 500%. Revenue growth and margin gain are set by hand. The multiple uplift is worked out from the improved answers and shown in the grey cell, and the orange cell next to it overrides that when something is typed in. Each of the first three panels moves one lever and holds the others at today. Forecasted P&amp;L moves all three and equals Future Potential Value. The separate increases do not add up to the total, because growing earnings and lifting the multiple multiply rather than add.</t>
        </is>
      </c>
    </row>
    <row r="16" ht="42" customHeight="1" s="215">
      <c r="A16" s="4" t="inlineStr">
        <is>
          <t>The margin question</t>
        </is>
      </c>
      <c r="B16" s="4" t="inlineStr">
        <is>
          <t>Margin is scored, and nobody answers it. The model takes the margin already computed on Intake, compares it against the industry margin table and fills the answer itself - top 10%, above the 75th, above the median, below the median, or bottom 25%. With no benchmark loaded it answers N/A and drops out of scoring rather than scoring zero. Its future answer follows the EBITDA target set on Value Acceleration, and the future-answer button leaves it alone.</t>
        </is>
      </c>
    </row>
    <row r="17" ht="45" customHeight="1" s="215">
      <c r="A17" t="inlineStr">
        <is>
          <t>What is not calibrated</t>
        </is>
      </c>
      <c r="B17" s="270" t="inlineStr">
        <is>
          <t>Driver weights, the score-to-percentile mapping, the deal-killer haircuts, the tier ceilings, the tier thresholds and the probabilities of sale are all judgment. Only the multiples themselves are measured, from transaction data. The model has not yet been checked against a deal with a known outcome.</t>
        </is>
      </c>
    </row>
    <row r="18" ht="60" customHeight="1" s="215">
      <c r="A18" t="inlineStr">
        <is>
          <t>Question weights</t>
        </is>
      </c>
      <c r="B18" s="270" t="inlineStr">
        <is>
          <t>Every question carries two weights, one for the Sellability score and one for the Value score, set on three levels - High impact, Moderate impact, Low impact. They sit in the weights block on the Engine tab, one row per question, each with its own dropdown. A High impact question counts twice a Moderate one and four times a Low one. Each weight is then expressed as a share of the total, so both columns always come to 100%, and the Scorecard warns as soon as either stops doing so. The only thing that takes a question out of a score is the owner answering N/A for it - a weight says how much a question matters, never whether it counts. A driver's score is the average of its own questions weighted this way, so it moves when a weight changes or a question is added or removed.</t>
        </is>
      </c>
    </row>
    <row r="19" ht="30" customHeight="1" s="215">
      <c r="A19" t="inlineStr">
        <is>
          <t>Which earnings figure</t>
        </is>
      </c>
      <c r="B19" s="270" t="inlineStr">
        <is>
          <t>Operating profit leads to a Seller's Discretionary Earnings (SDE) valuation. EBITDA leads to an EBITDA valuation. The model never mixes the two.</t>
        </is>
      </c>
    </row>
    <row r="20">
      <c r="A20" t="inlineStr">
        <is>
          <t>Margin benchmark</t>
        </is>
      </c>
      <c r="B20" t="inlineStr">
        <is>
          <t>The business margin is compared against the margin table on Industry Data, matched to the earnings figure entered - operating profit against the operating profit margin row, EBITDA against the EBITDA margin row. The Benchmark used line confirms which one was found.</t>
        </is>
      </c>
    </row>
    <row r="21">
      <c r="A21" t="inlineStr">
        <is>
          <t>What is hidden in this workbook</t>
        </is>
      </c>
      <c r="B21" t="inlineStr">
        <is>
          <t>Questions columns D and J - the highest possible score for each question, and a spare. Questions columns K to R, and W and Y - the question key, the deal-killer flag, the two fatal-flaw flags, the two 1-5 scores, the driver name, the lowest option score, the flag for an answer that matches no option, and the record of what the future-answer button last wrote. Questions columns AA, AB and AC - every question's answer options and their scores, which the dropdowns and the score formulas on this same sheet read; they sit here rather than on a tab of their own because Excel strips validation that points at another sheet. Questions column Z - the haircut each deal-killer question carries, and columns AD and AE - what is left after the haircut, now and future. Scorecard columns I and J - empty. Value Acceleration columns W and X - the growth and multiple step lists the three target dropdowns read from, on that sheet for the same reason. Value Gap columns P to U - the driver names, the count of deal-killers in each, the ranking figure, the rank itself, and each driver's two scores read off the Scorecard, the risk score and the multiple score, which the holding-it-back lines print. Value Gap column W - the buffer added above and below the calculated multiple to make the range shown at the top of the page. Retired and deliberately left in place, hidden and empty: Questions column E, the old equal-weight column that gave every question one twenty-sixth, and Questions columns S, T, U and V, the four helpers that multiplied each score by it - the weights block on the Engine tab does that job now with two weights per question. Value Acceleration row 13, the made-up cost line, is retired the same way. Nothing reads any of them. They are not deleted because deleting rows or columns shifts every reference after them. Nothing else is hidden anywhere.</t>
        </is>
      </c>
    </row>
    <row r="22"/>
    <row r="23" ht="64" customHeight="1" s="215">
      <c r="A23" s="130" t="inlineStr">
        <is>
          <t>Regional risk discount - what it is</t>
        </is>
      </c>
      <c r="B23" s="130" t="inlineStr">
        <is>
          <t>The multiple is cut by region, after the distressed floor. USA 0%, Developed World 15%, Developing World 30%. Set the region on Intake, under Business Overview. The percentages live on Assumptions rows 42 to 44 and can be changed there. The control to switch the whole thing off sits on Intake under Benchmark used, and reads Apply or Remove.</t>
        </is>
      </c>
    </row>
    <row r="24" ht="50" customHeight="1" s="215">
      <c r="A24" s="130" t="inlineStr">
        <is>
          <t>Regional risk discount - why these numbers</t>
        </is>
      </c>
      <c r="B24" s="130" t="inlineStr">
        <is>
          <t>These are judgement based, triangulated from mid-market transaction data. Nobody publishes a geographic comparison of SALE MULTIPLES for businesses of this size, so there is no figure to read off. Two independent routes were used.</t>
        </is>
      </c>
    </row>
    <row r="25" ht="78" customHeight="1" s="215">
      <c r="A25" s="130" t="inlineStr">
        <is>
          <t>Triangulation - Developed World, 15%</t>
        </is>
      </c>
      <c r="B25" s="130" t="inlineStr">
        <is>
          <t>Route one: United States private transactions median 10.5x to 11.0x enterprise value to EBITDA against United Kingdom 9.0x to 10.0x, a gap of about 10%. Route two: European transactions close 0.5x to 1.5x below comparable United States transactions, which on a 10.5x base is 5% to 14%. Canadian advisers assert 15% to 30% but name no dataset. The two measured routes converge on 10% to 15%; 15% is the conservative end of that.</t>
        </is>
      </c>
    </row>
    <row r="26" ht="64" customHeight="1" s="215">
      <c r="A26" s="130" t="inlineStr">
        <is>
          <t>Triangulation - Developing World, 30%</t>
        </is>
      </c>
      <c r="B26" s="130" t="inlineStr">
        <is>
          <t>Route one: Latin American multiples sit 2 to 4 turns below United States averages, which on a 10.5x base is 19% to 38%, midpoint 28.5%. Route two: emerging market businesses transact at a median 7.6x enterprise value to EBITDA against developed market comparables, and Asia-Pacific emerging markets at 6.0x to 8.0x. Two separate routes converge near 30%.</t>
        </is>
      </c>
    </row>
    <row r="27" ht="92" customHeight="1" s="215">
      <c r="A27" s="130" t="inlineStr">
        <is>
          <t>Regional risk discount - the sources</t>
        </is>
      </c>
      <c r="B27" s="130" t="inlineStr">
        <is>
          <t>Damodaran, NYU Stern, country default spreads and risk premiums, 157 countries, updated annually - pages.stern.nyu.edu/~adamodar/New_Home_Page/datafile/ctryprem.html. McKinsey, Don't overthink your approach to valuation in emerging markets. Lazard Asset Management, Why Emerging Markets Value, Q1 2026. Pepperdine Private Capital Markets Report, annual, private cost of capital, United States only. BizBuySell Insight Report, 2,117 closed United States small-business sales in Q2 2026 at an average 2.7x Seller's Discretionary Earnings.</t>
        </is>
      </c>
    </row>
    <row r="28" ht="106" customHeight="1" s="215">
      <c r="A28" s="130" t="inlineStr">
        <is>
          <t>Regional risk discount - what the sources do NOT say</t>
        </is>
      </c>
      <c r="B28" s="130" t="inlineStr">
        <is>
          <t>Every figure above measures mid-market enterprise value to EBITDA transactions, public equity indices, or cost of capital. None measures the sale price of a business trading at 2x to 4x Seller's Discretionary Earnings. Damodaran is public-market cost of equity, not a transaction multiple. McKinsey argues the opposite case - that a country risk premium of 1% to 2% is more realistic than the 3% to 5% commonly used, and that the risk belongs in the cash flow rather than the discount rate. Pepperdine is United States only and does not address geography. The 15% and 30% are directionally supported and not measured.</t>
        </is>
      </c>
    </row>
  </sheetData>
  <pageMargins left="0.75" right="0.75" top="1" bottom="1" header="0.5" footer="0.5"/>
</worksheet>
</file>

<file path=xl/worksheets/sheet12.xml><?xml version="1.0" encoding="utf-8"?>
<worksheet xmlns="http://schemas.openxmlformats.org/spreadsheetml/2006/main">
  <sheetPr codeName="Sheet6">
    <outlinePr summaryBelow="1" summaryRight="1"/>
    <pageSetUpPr fitToPage="1"/>
  </sheetPr>
  <dimension ref="A1:I27"/>
  <sheetViews>
    <sheetView showGridLines="0" zoomScale="104" workbookViewId="0">
      <selection activeCell="O15" sqref="O15"/>
    </sheetView>
  </sheetViews>
  <sheetFormatPr baseColWidth="10" defaultColWidth="9" defaultRowHeight="14"/>
  <cols>
    <col width="2" customWidth="1" style="215" min="1" max="1"/>
    <col width="34" customWidth="1" style="215" min="2" max="2"/>
    <col width="17" customWidth="1" style="215" min="3" max="3"/>
    <col width="3" customWidth="1" style="215" min="4" max="4"/>
    <col width="34" customWidth="1" style="215" min="5" max="5"/>
    <col width="17" customWidth="1" style="215" min="6" max="6"/>
    <col width="3" customWidth="1" style="215" min="7" max="7"/>
    <col width="34" customWidth="1" style="215" min="8" max="8"/>
    <col width="17" customWidth="1" style="215" min="9" max="9"/>
    <col width="2" customWidth="1" style="215" min="10" max="10"/>
  </cols>
  <sheetData>
    <row r="1"/>
    <row r="2" ht="34" customHeight="1" s="215">
      <c r="B2" s="275" t="inlineStr">
        <is>
          <t>What This Business Is Worth, And What It Could Be</t>
        </is>
      </c>
      <c r="C2" s="211" t="n"/>
      <c r="D2" s="211" t="n"/>
      <c r="E2" s="211" t="n"/>
      <c r="F2" s="211" t="n"/>
      <c r="G2" s="211" t="n"/>
      <c r="H2" s="211" t="n"/>
      <c r="I2" s="209" t="n"/>
    </row>
    <row r="3"/>
    <row r="4" ht="20" customHeight="1" s="215">
      <c r="B4" s="274" t="inlineStr">
        <is>
          <t>Indicated Value TODAY</t>
        </is>
      </c>
      <c r="C4" s="209" t="n"/>
      <c r="E4" s="210" t="inlineStr">
        <is>
          <t>WITH THE WORK DONE</t>
        </is>
      </c>
      <c r="F4" s="209" t="n"/>
      <c r="H4" s="210" t="inlineStr">
        <is>
          <t>WHAT YOU WANT</t>
        </is>
      </c>
      <c r="I4" s="209" t="n"/>
    </row>
    <row r="5" ht="46" customHeight="1" s="215">
      <c r="B5" s="290">
        <f>Intake!$D$20*Engine!$B$30</f>
        <v/>
      </c>
      <c r="C5" s="209" t="n"/>
      <c r="E5" s="290">
        <f>Intake!$H$5*(1+'Value Acceleration'!$C$9)*(IFERROR(Intake!$D$20/Intake!$H$5,0)+'Value Acceleration'!$H$9)*IF('Value Acceleration'!$N$9="",'Value Acceleration'!$M$9,'Value Acceleration'!$N$9)</f>
        <v/>
      </c>
      <c r="F5" s="209" t="n"/>
      <c r="H5" s="290">
        <f>Intake!$H$17</f>
        <v/>
      </c>
      <c r="I5" s="209" t="n"/>
    </row>
    <row r="6" ht="26" customHeight="1" s="215">
      <c r="B6" s="281" t="inlineStr">
        <is>
          <t>What a buyer would pay for it as it stands</t>
        </is>
      </c>
      <c r="C6" s="209" t="n"/>
      <c r="E6" s="281" t="inlineStr">
        <is>
          <t>The same business, de-risked and grown</t>
        </is>
      </c>
      <c r="F6" s="209" t="n"/>
      <c r="H6" s="281" t="inlineStr">
        <is>
          <t>The number you told us you need to walk away with</t>
        </is>
      </c>
      <c r="I6" s="209" t="n"/>
    </row>
    <row r="7" ht="30" customHeight="1" s="215">
      <c r="B7" s="284">
        <f>"Sellability: "&amp;Engine!$B$31&amp;CHAR(10)&amp;TEXT(Engine!$B$32,"0%")&amp;" probability of a sale"</f>
        <v/>
      </c>
      <c r="C7" s="209" t="n"/>
      <c r="E7" s="284">
        <f>"Sellability: "&amp;Engine!$C$31&amp;CHAR(10)&amp;TEXT(Engine!$C$32,"0%")&amp;" probability of a sale"</f>
        <v/>
      </c>
      <c r="F7" s="209" t="n"/>
      <c r="H7" s="284">
        <f>IF(N(Intake!$H$17)=0,"Enter a desired sale price on Intake",IF(Intake!$H$17&lt;=(Intake!$H$5*(1+'Value Acceleration'!$C$9)*(IFERROR(Intake!$D$20/Intake!$H$5,0)+'Value Acceleration'!$H$9)*IF('Value Acceleration'!$N$9="",'Value Acceleration'!$M$9,'Value Acceleration'!$N$9)),"Reachable - the plan clears it","Short by "&amp;TEXT(Intake!$H$17-(Intake!$H$5*(1+'Value Acceleration'!$C$9)*(IFERROR(Intake!$D$20/Intake!$H$5,0)+'Value Acceleration'!$H$9)*IF('Value Acceleration'!$N$9="",'Value Acceleration'!$M$9,'Value Acceleration'!$N$9)),"#,##0")))</f>
        <v/>
      </c>
      <c r="I7" s="209" t="n"/>
    </row>
    <row r="8"/>
    <row r="9" ht="18" customHeight="1" s="215">
      <c r="B9" s="278" t="inlineStr">
        <is>
          <t>THE WORK IS WORTH</t>
        </is>
      </c>
      <c r="C9" s="209" t="n"/>
      <c r="E9" s="278" t="inlineStr">
        <is>
          <t>STILL SHORT AFTER THE WORK</t>
        </is>
      </c>
      <c r="F9" s="209" t="n"/>
      <c r="H9" s="278" t="inlineStr">
        <is>
          <t>DOING NOTHING IS WORTH</t>
        </is>
      </c>
      <c r="I9" s="209" t="n"/>
    </row>
    <row r="10" ht="40" customHeight="1" s="215">
      <c r="B10" s="285">
        <f>Intake!$H$5*(1+'Value Acceleration'!$C$9)*(IFERROR(Intake!$D$20/Intake!$H$5,0)+'Value Acceleration'!$H$9)*IF('Value Acceleration'!$N$9="",'Value Acceleration'!$M$9,'Value Acceleration'!$N$9)-(Intake!$D$20*Engine!$B$30)</f>
        <v/>
      </c>
      <c r="C10" s="209" t="n"/>
      <c r="E10" s="285">
        <f>MAX(0,Intake!$H$17-(Intake!$H$5*(1+'Value Acceleration'!$C$9)*(IFERROR(Intake!$D$20/Intake!$H$5,0)+'Value Acceleration'!$H$9)*IF('Value Acceleration'!$N$9="",'Value Acceleration'!$M$9,'Value Acceleration'!$N$9)))</f>
        <v/>
      </c>
      <c r="F10" s="209" t="n"/>
      <c r="H10" s="285">
        <f>Intake!$D$20*Engine!$B$30*Engine!$B$32</f>
        <v/>
      </c>
      <c r="I10" s="209" t="n"/>
    </row>
    <row r="11" ht="20" customHeight="1" s="215">
      <c r="B11" s="287" t="inlineStr">
        <is>
          <t>Doing nothing is today's value multiplied by the chance a sale actually completes. It is what the business is worth on an expected basis if nothing changes.</t>
        </is>
      </c>
    </row>
    <row r="12"/>
    <row r="13" ht="26" customHeight="1" s="215">
      <c r="B13" s="280" t="inlineStr">
        <is>
          <t>Where The Uplift Comes From</t>
        </is>
      </c>
      <c r="C13" s="211" t="n"/>
      <c r="D13" s="211" t="n"/>
      <c r="E13" s="211" t="n"/>
      <c r="F13" s="211" t="n"/>
      <c r="G13" s="211" t="n"/>
      <c r="H13" s="211" t="n"/>
      <c r="I13" s="209" t="n"/>
    </row>
    <row r="14" ht="20" customHeight="1" s="215">
      <c r="B14" s="277" t="inlineStr">
        <is>
          <t>Lever</t>
        </is>
      </c>
      <c r="C14" s="209" t="n"/>
      <c r="E14" s="277" t="inlineStr">
        <is>
          <t>Worth</t>
        </is>
      </c>
      <c r="F14" s="209" t="n"/>
      <c r="H14" s="277" t="inlineStr">
        <is>
          <t>What it takes</t>
        </is>
      </c>
      <c r="I14" s="209" t="n"/>
    </row>
    <row r="15" ht="30" customHeight="1" s="215">
      <c r="B15" s="276" t="inlineStr">
        <is>
          <t>Lower the risk a buyer sees</t>
        </is>
      </c>
      <c r="C15" s="209" t="n"/>
      <c r="D15" s="41" t="n"/>
      <c r="E15" s="282">
        <f>Intake!$D$20*IF('Value Acceleration'!$N$9="",'Value Acceleration'!$M$9,'Value Acceleration'!$N$9)-(Intake!$D$20*Engine!$B$30)</f>
        <v/>
      </c>
      <c r="F15" s="209" t="n"/>
      <c r="G15" s="41" t="n"/>
      <c r="H15" s="279" t="inlineStr">
        <is>
          <t>Fix the fatal flaws and lift the diagnostic score. This moves the multiple, not the earnings.</t>
        </is>
      </c>
      <c r="I15" s="209" t="n"/>
    </row>
    <row r="16" ht="30" customHeight="1" s="215">
      <c r="B16" s="288" t="inlineStr">
        <is>
          <t>Grow revenue</t>
        </is>
      </c>
      <c r="C16" s="209" t="n"/>
      <c r="D16" s="42" t="n"/>
      <c r="E16" s="289">
        <f>Intake!$H$5*(1+'Value Acceleration'!$C$9)*IFERROR(Intake!$D$20/Intake!$H$5,0)*Engine!$B$30-(Intake!$D$20*Engine!$B$30)</f>
        <v/>
      </c>
      <c r="F16" s="209" t="n"/>
      <c r="G16" s="42" t="n"/>
      <c r="H16" s="283" t="inlineStr">
        <is>
          <t>More revenue at today's margin.</t>
        </is>
      </c>
      <c r="I16" s="209" t="n"/>
    </row>
    <row r="17" ht="30" customHeight="1" s="215">
      <c r="B17" s="276" t="inlineStr">
        <is>
          <t>Improve margin</t>
        </is>
      </c>
      <c r="C17" s="209" t="n"/>
      <c r="D17" s="41" t="n"/>
      <c r="E17" s="282">
        <f>Intake!$H$5*(IFERROR(Intake!$D$20/Intake!$H$5,0)+'Value Acceleration'!$H$9)*Engine!$B$30-(Intake!$D$20*Engine!$B$30)</f>
        <v/>
      </c>
      <c r="F17" s="209" t="n"/>
      <c r="G17" s="41" t="n"/>
      <c r="H17" s="279" t="inlineStr">
        <is>
          <t>Same revenue, more of it kept.</t>
        </is>
      </c>
      <c r="I17" s="209" t="n"/>
    </row>
    <row r="18" ht="30" customHeight="1" s="215">
      <c r="B18" s="286" t="inlineStr">
        <is>
          <t>All three together</t>
        </is>
      </c>
      <c r="C18" s="209" t="n"/>
      <c r="D18" s="42" t="n"/>
      <c r="E18" s="291">
        <f>Intake!$H$5*(1+'Value Acceleration'!$C$9)*(IFERROR(Intake!$D$20/Intake!$H$5,0)+'Value Acceleration'!$H$9)*IF('Value Acceleration'!$N$9="",'Value Acceleration'!$M$9,'Value Acceleration'!$N$9)-(Intake!$D$20*Engine!$B$30)</f>
        <v/>
      </c>
      <c r="F18" s="209" t="n"/>
      <c r="G18" s="42" t="n"/>
      <c r="H18" s="283" t="inlineStr">
        <is>
          <t>The levers multiply rather than add, so the total is more than the three above.</t>
        </is>
      </c>
      <c r="I18" s="209" t="n"/>
    </row>
    <row r="19"/>
    <row r="20" ht="26" customHeight="1" s="215">
      <c r="B20" s="280" t="inlineStr">
        <is>
          <t>What Stands In The Way Today</t>
        </is>
      </c>
      <c r="C20" s="211" t="n"/>
      <c r="D20" s="211" t="n"/>
      <c r="E20" s="211" t="n"/>
      <c r="F20" s="211" t="n"/>
      <c r="G20" s="211" t="n"/>
      <c r="H20" s="211" t="n"/>
      <c r="I20" s="209" t="n"/>
    </row>
    <row r="21" ht="26" customHeight="1" s="215">
      <c r="B21" s="276" t="inlineStr">
        <is>
          <t>Fatal flaws tripped now</t>
        </is>
      </c>
      <c r="C21" s="209" t="n"/>
      <c r="D21" s="41" t="n"/>
      <c r="E21" s="43">
        <f>Scorecard!$B$41</f>
        <v/>
      </c>
      <c r="F21" s="41" t="n"/>
      <c r="G21" s="41" t="n"/>
      <c r="H21" s="279" t="inlineStr">
        <is>
          <t>Any one of these stops a sale on its own, whatever else is true.</t>
        </is>
      </c>
      <c r="I21" s="209" t="n"/>
    </row>
    <row r="22" ht="26" customHeight="1" s="215">
      <c r="B22" s="288" t="inlineStr">
        <is>
          <t>Sellability score now, out of 5</t>
        </is>
      </c>
      <c r="C22" s="209" t="n"/>
      <c r="D22" s="42" t="n"/>
      <c r="E22" s="44">
        <f>Scorecard!$B$39</f>
        <v/>
      </c>
      <c r="F22" s="42" t="n"/>
      <c r="G22" s="42" t="n"/>
      <c r="H22" s="283" t="inlineStr">
        <is>
          <t>Where the business sits against businesses that actually sold.</t>
        </is>
      </c>
      <c r="I22" s="209" t="n"/>
    </row>
    <row r="23" ht="26" customHeight="1" s="215">
      <c r="B23" s="276" t="inlineStr">
        <is>
          <t>Sellability score after the work</t>
        </is>
      </c>
      <c r="C23" s="209" t="n"/>
      <c r="D23" s="41" t="n"/>
      <c r="E23" s="45">
        <f>Scorecard!$C$39</f>
        <v/>
      </c>
      <c r="F23" s="41" t="n"/>
      <c r="G23" s="41" t="n"/>
      <c r="H23" s="279" t="inlineStr">
        <is>
          <t>Based on the future answers entered so far.</t>
        </is>
      </c>
      <c r="I23" s="209" t="n"/>
    </row>
    <row r="24" ht="26" customHeight="1" s="215">
      <c r="B24" s="288" t="inlineStr">
        <is>
          <t>Multiple today</t>
        </is>
      </c>
      <c r="C24" s="209" t="n"/>
      <c r="D24" s="42" t="n"/>
      <c r="E24" s="46">
        <f>Engine!$B$30</f>
        <v/>
      </c>
      <c r="F24" s="42" t="n"/>
      <c r="G24" s="42" t="n"/>
      <c r="H24" s="283" t="inlineStr">
        <is>
          <t>What the score and the industry data earn right now.</t>
        </is>
      </c>
      <c r="I24" s="209" t="n"/>
    </row>
    <row r="25" ht="26" customHeight="1" s="215">
      <c r="B25" s="276" t="inlineStr">
        <is>
          <t>Multiple after the work</t>
        </is>
      </c>
      <c r="C25" s="209" t="n"/>
      <c r="D25" s="41" t="n"/>
      <c r="E25" s="47">
        <f>Engine!$C$30</f>
        <v/>
      </c>
      <c r="F25" s="41" t="n"/>
      <c r="G25" s="41" t="n"/>
      <c r="H25" s="279" t="inlineStr">
        <is>
          <t>Same industry, better business.</t>
        </is>
      </c>
      <c r="I25" s="209" t="n"/>
    </row>
    <row r="26"/>
    <row r="27" ht="20" customHeight="1" s="215">
      <c r="B27" s="287" t="inlineStr">
        <is>
          <t>The three targets that drive the future numbers are set on the Value Acceleration tab. This page reads them; it does not change them.</t>
        </is>
      </c>
    </row>
  </sheetData>
  <mergeCells count="48">
    <mergeCell ref="B16:C16"/>
    <mergeCell ref="B7:C7"/>
    <mergeCell ref="B25:C25"/>
    <mergeCell ref="H10:I10"/>
    <mergeCell ref="E5:F5"/>
    <mergeCell ref="B22:C22"/>
    <mergeCell ref="E14:F14"/>
    <mergeCell ref="H4:I4"/>
    <mergeCell ref="B18:C18"/>
    <mergeCell ref="E17:F17"/>
    <mergeCell ref="B27:I27"/>
    <mergeCell ref="H9:I9"/>
    <mergeCell ref="E4:F4"/>
    <mergeCell ref="B21:C21"/>
    <mergeCell ref="H21:I21"/>
    <mergeCell ref="H25:I25"/>
    <mergeCell ref="H6:I6"/>
    <mergeCell ref="E10:F10"/>
    <mergeCell ref="B11:I11"/>
    <mergeCell ref="B2:I2"/>
    <mergeCell ref="B23:C23"/>
    <mergeCell ref="B14:C14"/>
    <mergeCell ref="B17:C17"/>
    <mergeCell ref="E9:F9"/>
    <mergeCell ref="H17:I17"/>
    <mergeCell ref="B13:I13"/>
    <mergeCell ref="E6:F6"/>
    <mergeCell ref="E15:F15"/>
    <mergeCell ref="H16:I16"/>
    <mergeCell ref="H7:I7"/>
    <mergeCell ref="B10:C10"/>
    <mergeCell ref="H22:I22"/>
    <mergeCell ref="B9:C9"/>
    <mergeCell ref="B6:C6"/>
    <mergeCell ref="B24:C24"/>
    <mergeCell ref="B15:C15"/>
    <mergeCell ref="E16:F16"/>
    <mergeCell ref="E7:F7"/>
    <mergeCell ref="B5:C5"/>
    <mergeCell ref="H24:I24"/>
    <mergeCell ref="B20:I20"/>
    <mergeCell ref="H15:I15"/>
    <mergeCell ref="H18:I18"/>
    <mergeCell ref="H5:I5"/>
    <mergeCell ref="H23:I23"/>
    <mergeCell ref="H14:I14"/>
    <mergeCell ref="E18:F18"/>
    <mergeCell ref="B4:C4"/>
  </mergeCells>
  <pageMargins left="0.75" right="0.75" top="1" bottom="1" header="0.5" footer="0.5"/>
  <pageSetup orientation="landscape" fitToHeight="0"/>
</worksheet>
</file>

<file path=xl/worksheets/sheet13.xml><?xml version="1.0" encoding="utf-8"?>
<worksheet xmlns="http://schemas.openxmlformats.org/spreadsheetml/2006/main">
  <sheetPr codeName="Sheet4">
    <outlinePr summaryBelow="1" summaryRight="1"/>
    <pageSetUpPr fitToPage="1"/>
  </sheetPr>
  <dimension ref="A1:Y120"/>
  <sheetViews>
    <sheetView topLeftCell="B1" workbookViewId="0">
      <selection activeCell="A1" sqref="A1"/>
    </sheetView>
  </sheetViews>
  <sheetFormatPr baseColWidth="10" defaultColWidth="9" defaultRowHeight="14"/>
  <cols>
    <col width="2" customWidth="1" style="215" min="1" max="1"/>
    <col width="28" customWidth="1" style="215" min="2" max="2"/>
    <col width="14" customWidth="1" style="215" min="3" max="4"/>
    <col width="13" customWidth="1" style="215" min="5" max="5"/>
    <col width="2" customWidth="1" style="215" min="6" max="6"/>
    <col width="28" customWidth="1" style="215" min="7" max="7"/>
    <col width="14" customWidth="1" style="215" min="8" max="9"/>
    <col width="13" customWidth="1" style="215" min="10" max="10"/>
    <col width="2" customWidth="1" style="215" min="11" max="11"/>
    <col width="28" customWidth="1" style="215" min="12" max="12"/>
    <col width="14" customWidth="1" style="215" min="13" max="14"/>
    <col width="13" customWidth="1" style="215" min="15" max="15"/>
    <col width="2" customWidth="1" style="215" min="16" max="16"/>
    <col width="28" customWidth="1" style="215" min="17" max="17"/>
    <col width="14" customWidth="1" style="215" min="18" max="19"/>
    <col width="13" customWidth="1" style="215" min="20" max="20"/>
    <col width="2" customWidth="1" style="215" min="21" max="21"/>
    <col hidden="1" width="14" customWidth="1" style="215" min="23" max="23"/>
    <col hidden="1" width="13" customWidth="1" style="215" min="24" max="25"/>
  </cols>
  <sheetData>
    <row r="1">
      <c r="W1" s="52" t="inlineStr">
        <is>
          <t>Growth steps</t>
        </is>
      </c>
      <c r="X1" s="52" t="inlineStr">
        <is>
          <t>Multiple steps</t>
        </is>
      </c>
    </row>
    <row r="2" ht="32" customHeight="1" s="215">
      <c r="B2" s="247" t="inlineStr">
        <is>
          <t>Value Gap &amp; Sellability Analysis</t>
        </is>
      </c>
      <c r="W2" s="5" t="n">
        <v>-0.3</v>
      </c>
      <c r="X2" s="8" t="n">
        <v>0.5</v>
      </c>
      <c r="Y2" s="5" t="n">
        <v>-0.15</v>
      </c>
    </row>
    <row r="3">
      <c r="B3" s="93">
        <f>IF(Intake!$D$5="","",Intake!$D$5)</f>
        <v/>
      </c>
      <c r="Q3" s="94">
        <f>IF(Intake!$H$23="","",TEXT(Intake!$H$23,"d mmmm yyyy"))</f>
        <v/>
      </c>
      <c r="W3" s="5" t="n">
        <v>-0.25</v>
      </c>
      <c r="X3" s="8" t="n">
        <v>0.75</v>
      </c>
      <c r="Y3" s="5" t="n">
        <v>-0.14</v>
      </c>
    </row>
    <row r="4" ht="22" customHeight="1" s="215">
      <c r="B4" s="254" t="inlineStr">
        <is>
          <t>Current Indicated EV (Enterprise Value)</t>
        </is>
      </c>
      <c r="L4" s="254" t="inlineStr">
        <is>
          <t>Desired EV</t>
        </is>
      </c>
      <c r="Q4" s="254" t="inlineStr">
        <is>
          <t>Future Potential EV</t>
        </is>
      </c>
      <c r="W4" s="5" t="n">
        <v>-0.2</v>
      </c>
      <c r="X4" s="8" t="n">
        <v>1</v>
      </c>
      <c r="Y4" s="5" t="n">
        <v>-0.13</v>
      </c>
    </row>
    <row r="5" ht="36" customHeight="1" s="215">
      <c r="B5" s="250">
        <f>Intake!$D$20*Engine!$B$30</f>
        <v/>
      </c>
      <c r="C5" s="211" t="n"/>
      <c r="D5" s="211" t="n"/>
      <c r="E5" s="209" t="n"/>
      <c r="G5" s="257" t="inlineStr">
        <is>
          <t>Value Uplift With Exit Preparation -&gt;</t>
        </is>
      </c>
      <c r="H5" s="211" t="n"/>
      <c r="I5" s="211" t="n"/>
      <c r="J5" s="209" t="n"/>
      <c r="L5" s="250">
        <f>Intake!$H$17</f>
        <v/>
      </c>
      <c r="M5" s="211" t="n"/>
      <c r="N5" s="211" t="n"/>
      <c r="O5" s="209" t="n"/>
      <c r="Q5" s="250">
        <f>Intake!$H$5*(1+$C$9)*(IFERROR(Intake!$D$20/Intake!$H$5,0)+$H$9)*IF($N$9="",$M$9,$N$9)</f>
        <v/>
      </c>
      <c r="R5" s="211" t="n"/>
      <c r="S5" s="211" t="n"/>
      <c r="T5" s="209" t="n"/>
      <c r="W5" s="5" t="n">
        <v>-0.15</v>
      </c>
      <c r="X5" s="8" t="n">
        <v>1.25</v>
      </c>
      <c r="Y5" s="5" t="n">
        <v>-0.12</v>
      </c>
    </row>
    <row r="6" ht="22" customHeight="1" s="215">
      <c r="B6" s="251">
        <f>"Sellability: "&amp;Engine!$B$31&amp;CHAR(10)&amp;TEXT(Engine!$B$32,"0%")&amp;" probability of a sale"</f>
        <v/>
      </c>
      <c r="C6" s="211" t="n"/>
      <c r="D6" s="211" t="n"/>
      <c r="E6" s="209" t="n"/>
      <c r="G6" s="251">
        <f>TEXT(Intake!$H$5*(1+$C$9)*(IFERROR(Intake!$D$20/Intake!$H$5,0)+$H$9)*IF($N$9="",$M$9,$N$9)-(Intake!$D$20*Engine!$B$30),"#,##0")</f>
        <v/>
      </c>
      <c r="H6" s="211" t="n"/>
      <c r="I6" s="211" t="n"/>
      <c r="J6" s="209" t="n"/>
      <c r="L6" s="255">
        <f>IF(N(Intake!$H$17)=0,"Enter a desired sale price on Intake",IF($Q$5&gt;=$L$5,"Ahead of the desired price by   "&amp;TEXT($Q$5-$L$5,"#,##0"),"Short of the desired price by   "&amp;TEXT($L$5-$Q$5,"#,##0")))</f>
        <v/>
      </c>
      <c r="M6" s="211" t="n"/>
      <c r="N6" s="211" t="n"/>
      <c r="O6" s="209" t="n"/>
      <c r="Q6" s="255">
        <f>"Sellability: "&amp;Engine!$C$31&amp;CHAR(10)&amp;TEXT(Engine!$C$32,"0%")&amp;" probability of a sale"</f>
        <v/>
      </c>
      <c r="R6" s="211" t="n"/>
      <c r="S6" s="211" t="n"/>
      <c r="T6" s="209" t="n"/>
      <c r="W6" s="5" t="n">
        <v>-0.1</v>
      </c>
      <c r="X6" s="8" t="n">
        <v>1.5</v>
      </c>
      <c r="Y6" s="5" t="n">
        <v>-0.11</v>
      </c>
    </row>
    <row r="7">
      <c r="B7" s="253">
        <f>IF(Intake!$D$19="","Enter the figures on Intake, then set the three targets below.","Valued on "&amp;Intake!$D$19&amp;". Current comes from Intake. Future comes only from the three targets below - nothing here reads the future answers.")</f>
        <v/>
      </c>
      <c r="W7" s="5" t="n">
        <v>-0.05</v>
      </c>
      <c r="X7" s="8" t="n">
        <v>1.75</v>
      </c>
      <c r="Y7" s="5" t="n">
        <v>-0.1</v>
      </c>
    </row>
    <row r="8" ht="16" customHeight="1" s="215">
      <c r="B8" s="253">
        <f>IF(Engine!$B$23=0,IF(LEFT(Engine!$B$15,13)="Industry Data","",Engine!$B$15),Engine!$B$23&amp;IF(Engine!$B$23=1," deal-killer is tripped"," deal-killers are tripped")&amp;" - named on the Scorecard. Each one takes its own share off the multiple until they are cleared.")</f>
        <v/>
      </c>
      <c r="L8" s="34">
        <f>IF(COUNT(Questions!$P$3:$P$55)&lt;COUNT(Questions!$C$3:$C$55),COUNT(Questions!$P$3:$P$55)&amp;" of "&amp;COUNT(Questions!$C$3:$C$55)&amp;" future answers","From the answers")</f>
        <v/>
      </c>
      <c r="M8" s="35" t="inlineStr">
        <is>
          <t>From the answers</t>
        </is>
      </c>
      <c r="N8" s="35" t="inlineStr">
        <is>
          <t>Override</t>
        </is>
      </c>
      <c r="W8" s="5" t="n">
        <v>0</v>
      </c>
      <c r="X8" s="8" t="n">
        <v>2</v>
      </c>
      <c r="Y8" s="5" t="n">
        <v>-0.09</v>
      </c>
    </row>
    <row r="9" ht="22" customHeight="1" s="215">
      <c r="B9" s="36" t="inlineStr">
        <is>
          <t>Revenue Increase</t>
        </is>
      </c>
      <c r="C9" s="50" t="n">
        <v>0</v>
      </c>
      <c r="G9" s="36" t="inlineStr">
        <is>
          <t>EBITDA Increase</t>
        </is>
      </c>
      <c r="H9" s="50" t="n">
        <v>0</v>
      </c>
      <c r="L9" s="36">
        <f>"Current &amp; Future State  ("&amp;TEXT(Engine!$B$30,"0.00")&amp;"x)"</f>
        <v/>
      </c>
      <c r="M9" s="29">
        <f>Engine!$C$30</f>
        <v/>
      </c>
      <c r="N9" s="51" t="n"/>
      <c r="W9" s="5" t="n">
        <v>0.05</v>
      </c>
      <c r="X9" s="8" t="n">
        <v>2.25</v>
      </c>
      <c r="Y9" s="5" t="n">
        <v>-0.08</v>
      </c>
    </row>
    <row r="10" ht="22" customHeight="1" s="215">
      <c r="B10" s="248" t="inlineStr">
        <is>
          <t>Size</t>
        </is>
      </c>
      <c r="C10" s="211" t="n"/>
      <c r="D10" s="211" t="n"/>
      <c r="E10" s="209" t="n"/>
      <c r="G10" s="248" t="inlineStr">
        <is>
          <t>Efficiency &amp; Costs</t>
        </is>
      </c>
      <c r="H10" s="211" t="n"/>
      <c r="I10" s="211" t="n"/>
      <c r="J10" s="209" t="n"/>
      <c r="L10" s="248" t="inlineStr">
        <is>
          <t>Value Drivers &amp; Risk</t>
        </is>
      </c>
      <c r="M10" s="211" t="n"/>
      <c r="N10" s="211" t="n"/>
      <c r="O10" s="209" t="n"/>
      <c r="Q10" s="248" t="inlineStr">
        <is>
          <t>Forecasted P&amp;L</t>
        </is>
      </c>
      <c r="R10" s="211" t="n"/>
      <c r="S10" s="211" t="n"/>
      <c r="T10" s="209" t="n"/>
      <c r="W10" s="5" t="n">
        <v>0.1</v>
      </c>
      <c r="X10" s="8" t="n">
        <v>2.5</v>
      </c>
      <c r="Y10" s="5" t="n">
        <v>-0.07000000000000001</v>
      </c>
    </row>
    <row r="11" ht="18" customHeight="1" s="215">
      <c r="B11" s="259" t="inlineStr">
        <is>
          <t>Revenue</t>
        </is>
      </c>
      <c r="C11" s="211" t="n"/>
      <c r="D11" s="211" t="n"/>
      <c r="E11" s="209" t="n"/>
      <c r="G11" s="259" t="inlineStr">
        <is>
          <t>EBITDA</t>
        </is>
      </c>
      <c r="H11" s="211" t="n"/>
      <c r="I11" s="211" t="n"/>
      <c r="J11" s="209" t="n"/>
      <c r="L11" s="259" t="inlineStr">
        <is>
          <t>Multiple</t>
        </is>
      </c>
      <c r="M11" s="211" t="n"/>
      <c r="N11" s="211" t="n"/>
      <c r="O11" s="209" t="n"/>
      <c r="Q11" s="259" t="inlineStr">
        <is>
          <t>Forecasted P&amp;L</t>
        </is>
      </c>
      <c r="R11" s="211" t="n"/>
      <c r="S11" s="211" t="n"/>
      <c r="T11" s="209" t="n"/>
      <c r="W11" s="5" t="n">
        <v>0.15</v>
      </c>
      <c r="X11" s="8" t="n">
        <v>2.75</v>
      </c>
      <c r="Y11" s="5" t="n">
        <v>-0.06</v>
      </c>
    </row>
    <row r="12" ht="18" customHeight="1" s="215">
      <c r="B12" s="14" t="inlineStr">
        <is>
          <t>Revenue</t>
        </is>
      </c>
      <c r="C12" s="16">
        <f>Intake!$H$5</f>
        <v/>
      </c>
      <c r="D12" s="9">
        <f>Intake!$H$5*(1+$C$9)</f>
        <v/>
      </c>
      <c r="E12" s="15">
        <f>1</f>
        <v/>
      </c>
      <c r="G12" s="14" t="inlineStr">
        <is>
          <t>Revenue</t>
        </is>
      </c>
      <c r="H12" s="16">
        <f>Intake!$H$5</f>
        <v/>
      </c>
      <c r="I12" s="16">
        <f>Intake!$H$5*(1+0)</f>
        <v/>
      </c>
      <c r="J12" s="15">
        <f>1</f>
        <v/>
      </c>
      <c r="L12" s="14" t="inlineStr">
        <is>
          <t>Revenue</t>
        </is>
      </c>
      <c r="M12" s="16">
        <f>Intake!$H$5</f>
        <v/>
      </c>
      <c r="N12" s="16">
        <f>Intake!$H$5*(1+0)</f>
        <v/>
      </c>
      <c r="O12" s="15">
        <f>1</f>
        <v/>
      </c>
      <c r="Q12" s="14" t="inlineStr">
        <is>
          <t>Revenue</t>
        </is>
      </c>
      <c r="R12" s="16">
        <f>Intake!$H$5</f>
        <v/>
      </c>
      <c r="S12" s="9">
        <f>Intake!$H$5*(1+$C$9)</f>
        <v/>
      </c>
      <c r="T12" s="15">
        <f>1</f>
        <v/>
      </c>
      <c r="W12" s="5" t="n">
        <v>0.2</v>
      </c>
      <c r="X12" s="8" t="n">
        <v>3</v>
      </c>
      <c r="Y12" s="5" t="n">
        <v>-0.05</v>
      </c>
    </row>
    <row r="13" ht="18" customHeight="1" s="215">
      <c r="B13" s="17" t="inlineStr">
        <is>
          <t>COGS &amp; Operating Expenses</t>
        </is>
      </c>
      <c r="C13" s="18">
        <f>Intake!$H$5-(Intake!$D$20)</f>
        <v/>
      </c>
      <c r="D13" s="18">
        <f>Intake!$H$5*(1+$C$9)-(Intake!$H$5*(1+$C$9)*(IFERROR(Intake!$D$20/Intake!$H$5,0)+0))</f>
        <v/>
      </c>
      <c r="E13" s="19">
        <f>1-((IFERROR(Intake!$D$20/Intake!$H$5,0)+0))</f>
        <v/>
      </c>
      <c r="G13" s="17" t="inlineStr">
        <is>
          <t>COGS &amp; Operating Expenses</t>
        </is>
      </c>
      <c r="H13" s="18">
        <f>Intake!$H$5-(Intake!$D$20)</f>
        <v/>
      </c>
      <c r="I13" s="18">
        <f>Intake!$H$5*(1+$C$9)-(Intake!$H$5*(1+0)*(IFERROR(Intake!$D$20/Intake!$H$5,0)+$H$9))</f>
        <v/>
      </c>
      <c r="J13" s="10">
        <f>1-((IFERROR(Intake!$D$20/Intake!$H$5,0)+$H$9))</f>
        <v/>
      </c>
      <c r="L13" s="17" t="inlineStr">
        <is>
          <t>COGS &amp; Operating Expenses</t>
        </is>
      </c>
      <c r="M13" s="18">
        <f>Intake!$H$5-(Intake!$D$20)</f>
        <v/>
      </c>
      <c r="N13" s="18">
        <f>Intake!$H$5*(1+$C$9)-(Intake!$H$5*(1+0)*(IFERROR(Intake!$D$20/Intake!$H$5,0)+0))</f>
        <v/>
      </c>
      <c r="O13" s="19">
        <f>1-((IFERROR(Intake!$D$20/Intake!$H$5,0)+0))</f>
        <v/>
      </c>
      <c r="Q13" s="17" t="inlineStr">
        <is>
          <t>COGS &amp; Operating Expenses</t>
        </is>
      </c>
      <c r="R13" s="18">
        <f>Intake!$H$5-(Intake!$D$20)</f>
        <v/>
      </c>
      <c r="S13" s="18">
        <f>Intake!$H$5*(1+$C$9)-(Intake!$H$5*(1+$C$9)*(IFERROR(Intake!$D$20/Intake!$H$5,0)+$H$9))</f>
        <v/>
      </c>
      <c r="T13" s="10">
        <f>1-((IFERROR(Intake!$D$20/Intake!$H$5,0)+$H$9))</f>
        <v/>
      </c>
      <c r="W13" s="5" t="n">
        <v>0.25</v>
      </c>
      <c r="X13" s="8" t="n">
        <v>3.25</v>
      </c>
      <c r="Y13" s="5" t="n">
        <v>-0.04</v>
      </c>
    </row>
    <row r="14" ht="18" customHeight="1" s="215">
      <c r="B14" s="14">
        <f>Intake!$D$19</f>
        <v/>
      </c>
      <c r="C14" s="16">
        <f>Intake!$D$20</f>
        <v/>
      </c>
      <c r="D14" s="16">
        <f>Intake!$H$5*(1+$C$9)*(IFERROR(Intake!$D$20/Intake!$H$5,0)+0)</f>
        <v/>
      </c>
      <c r="E14" s="20">
        <f>(IFERROR(Intake!$D$20/Intake!$H$5,0)+0)</f>
        <v/>
      </c>
      <c r="G14" s="14">
        <f>Intake!$D$19</f>
        <v/>
      </c>
      <c r="H14" s="16">
        <f>Intake!$D$20</f>
        <v/>
      </c>
      <c r="I14" s="16">
        <f>Intake!$H$5*(1+0)*(IFERROR(Intake!$D$20/Intake!$H$5,0)+$H$9)</f>
        <v/>
      </c>
      <c r="J14" s="11">
        <f>(IFERROR(Intake!$D$20/Intake!$H$5,0)+$H$9)</f>
        <v/>
      </c>
      <c r="L14" s="14">
        <f>Intake!$D$19</f>
        <v/>
      </c>
      <c r="M14" s="16">
        <f>Intake!$D$20</f>
        <v/>
      </c>
      <c r="N14" s="16">
        <f>Intake!$H$5*(1+0)*(IFERROR(Intake!$D$20/Intake!$H$5,0)+0)</f>
        <v/>
      </c>
      <c r="O14" s="20">
        <f>(IFERROR(Intake!$D$20/Intake!$H$5,0)+0)</f>
        <v/>
      </c>
      <c r="Q14" s="14">
        <f>Intake!$D$19</f>
        <v/>
      </c>
      <c r="R14" s="16">
        <f>Intake!$D$20</f>
        <v/>
      </c>
      <c r="S14" s="16">
        <f>Intake!$H$5*(1+$C$9)*(IFERROR(Intake!$D$20/Intake!$H$5,0)+$H$9)</f>
        <v/>
      </c>
      <c r="T14" s="11">
        <f>(IFERROR(Intake!$D$20/Intake!$H$5,0)+$H$9)</f>
        <v/>
      </c>
      <c r="W14" s="5" t="n">
        <v>0.3</v>
      </c>
      <c r="X14" s="8" t="n">
        <v>3.5</v>
      </c>
      <c r="Y14" s="5" t="n">
        <v>-0.03</v>
      </c>
    </row>
    <row r="15" hidden="1" s="215">
      <c r="B15" s="17" t="n"/>
      <c r="C15" s="18" t="n"/>
      <c r="D15" s="18" t="n"/>
      <c r="E15" s="19" t="n"/>
      <c r="G15" s="17" t="n"/>
      <c r="H15" s="18" t="n"/>
      <c r="I15" s="18" t="n"/>
      <c r="J15" s="19" t="n"/>
      <c r="L15" s="17" t="n"/>
      <c r="M15" s="18" t="n"/>
      <c r="N15" s="18" t="n"/>
      <c r="O15" s="19" t="n"/>
      <c r="Q15" s="17" t="n"/>
      <c r="R15" s="18" t="n"/>
      <c r="S15" s="18" t="n"/>
      <c r="T15" s="19" t="n"/>
      <c r="W15" s="5" t="n">
        <v>0.35</v>
      </c>
      <c r="X15" s="8" t="n">
        <v>3.75</v>
      </c>
      <c r="Y15" s="5" t="n">
        <v>-0.02</v>
      </c>
    </row>
    <row r="16" ht="18" customHeight="1" s="215">
      <c r="B16" s="259" t="inlineStr">
        <is>
          <t>Adjusted Value</t>
        </is>
      </c>
      <c r="C16" s="211" t="n"/>
      <c r="D16" s="211" t="n"/>
      <c r="E16" s="209" t="n"/>
      <c r="G16" s="259" t="inlineStr">
        <is>
          <t>Adjusted Value</t>
        </is>
      </c>
      <c r="H16" s="211" t="n"/>
      <c r="I16" s="211" t="n"/>
      <c r="J16" s="209" t="n"/>
      <c r="L16" s="259" t="inlineStr">
        <is>
          <t>Adjusted Value</t>
        </is>
      </c>
      <c r="M16" s="211" t="n"/>
      <c r="N16" s="211" t="n"/>
      <c r="O16" s="209" t="n"/>
      <c r="Q16" s="259" t="inlineStr">
        <is>
          <t>Forecasted Value</t>
        </is>
      </c>
      <c r="R16" s="211" t="n"/>
      <c r="S16" s="211" t="n"/>
      <c r="T16" s="209" t="n"/>
      <c r="W16" s="5" t="n">
        <v>0.4</v>
      </c>
      <c r="X16" s="8" t="n">
        <v>4</v>
      </c>
      <c r="Y16" s="5" t="n">
        <v>-0.01</v>
      </c>
    </row>
    <row r="17" ht="18" customHeight="1" s="215">
      <c r="B17" s="14" t="inlineStr">
        <is>
          <t>Multiple</t>
        </is>
      </c>
      <c r="C17" s="21">
        <f>Engine!$B$30</f>
        <v/>
      </c>
      <c r="D17" s="21">
        <f>Engine!$B$30*(1+0)</f>
        <v/>
      </c>
      <c r="E17" s="21" t="n"/>
      <c r="G17" s="14" t="inlineStr">
        <is>
          <t>Multiple</t>
        </is>
      </c>
      <c r="H17" s="21">
        <f>Engine!$B$30</f>
        <v/>
      </c>
      <c r="I17" s="21">
        <f>Engine!$B$30*(1+0)</f>
        <v/>
      </c>
      <c r="J17" s="21" t="n"/>
      <c r="L17" s="14" t="inlineStr">
        <is>
          <t>Multiple</t>
        </is>
      </c>
      <c r="M17" s="21">
        <f>Engine!$B$30</f>
        <v/>
      </c>
      <c r="N17" s="12">
        <f>IF($N$9="",$M$9,$N$9)</f>
        <v/>
      </c>
      <c r="O17" s="21" t="n"/>
      <c r="Q17" s="14" t="inlineStr">
        <is>
          <t>Multiple</t>
        </is>
      </c>
      <c r="R17" s="21">
        <f>Engine!$B$30</f>
        <v/>
      </c>
      <c r="S17" s="12">
        <f>IF($N$9="",$M$9,$N$9)</f>
        <v/>
      </c>
      <c r="T17" s="21" t="n"/>
      <c r="W17" s="5" t="n">
        <v>0.45</v>
      </c>
      <c r="X17" s="8" t="n">
        <v>4.25</v>
      </c>
      <c r="Y17" s="5" t="n">
        <v>0</v>
      </c>
    </row>
    <row r="18" ht="18" customHeight="1" s="215">
      <c r="B18" s="22" t="inlineStr">
        <is>
          <t>Adjusted EV</t>
        </is>
      </c>
      <c r="C18" s="23">
        <f>Intake!$D$20*Engine!$B$30</f>
        <v/>
      </c>
      <c r="D18" s="23">
        <f>Intake!$H$5*(1+$C$9)*(IFERROR(Intake!$D$20/Intake!$H$5,0)+0)*Engine!$B$30*(1+0)</f>
        <v/>
      </c>
      <c r="E18" s="23" t="n"/>
      <c r="G18" s="22" t="inlineStr">
        <is>
          <t>Adjusted EV</t>
        </is>
      </c>
      <c r="H18" s="23">
        <f>Intake!$D$20*Engine!$B$30</f>
        <v/>
      </c>
      <c r="I18" s="23">
        <f>Intake!$H$5*(1+0)*(IFERROR(Intake!$D$20/Intake!$H$5,0)+$H$9)*Engine!$B$30*(1+0)</f>
        <v/>
      </c>
      <c r="J18" s="23" t="n"/>
      <c r="L18" s="22" t="inlineStr">
        <is>
          <t>Adjusted EV</t>
        </is>
      </c>
      <c r="M18" s="23">
        <f>Intake!$D$20*Engine!$B$30</f>
        <v/>
      </c>
      <c r="N18" s="23">
        <f>Intake!$H$5*(1+0)*(IFERROR(Intake!$D$20/Intake!$H$5,0)+0)*IF($N$9="",$M$9,$N$9)</f>
        <v/>
      </c>
      <c r="O18" s="23" t="n"/>
      <c r="Q18" s="22" t="inlineStr">
        <is>
          <t>Adjusted EV</t>
        </is>
      </c>
      <c r="R18" s="23">
        <f>Intake!$D$20*Engine!$B$30</f>
        <v/>
      </c>
      <c r="S18" s="23">
        <f>Intake!$H$5*(1+$C$9)*(IFERROR(Intake!$D$20/Intake!$H$5,0)+$H$9)*IF($N$9="",$M$9,$N$9)</f>
        <v/>
      </c>
      <c r="T18" s="23" t="n"/>
      <c r="W18" s="5" t="n">
        <v>0.5</v>
      </c>
      <c r="X18" s="8" t="n">
        <v>4.5</v>
      </c>
      <c r="Y18" s="5" t="n">
        <v>0.05</v>
      </c>
    </row>
    <row r="19" ht="18" customHeight="1" s="215">
      <c r="B19" s="259" t="inlineStr">
        <is>
          <t>Value Created</t>
        </is>
      </c>
      <c r="C19" s="211" t="n"/>
      <c r="D19" s="211" t="n"/>
      <c r="E19" s="209" t="n"/>
      <c r="G19" s="259" t="inlineStr">
        <is>
          <t>Value Created</t>
        </is>
      </c>
      <c r="H19" s="211" t="n"/>
      <c r="I19" s="211" t="n"/>
      <c r="J19" s="209" t="n"/>
      <c r="L19" s="259" t="inlineStr">
        <is>
          <t>Value Created</t>
        </is>
      </c>
      <c r="M19" s="211" t="n"/>
      <c r="N19" s="211" t="n"/>
      <c r="O19" s="209" t="n"/>
      <c r="Q19" s="259" t="inlineStr">
        <is>
          <t>Forecasted Growth</t>
        </is>
      </c>
      <c r="R19" s="211" t="n"/>
      <c r="S19" s="211" t="n"/>
      <c r="T19" s="209" t="n"/>
      <c r="W19" s="5" t="n">
        <v>0.55</v>
      </c>
      <c r="X19" s="8" t="n">
        <v>4.75</v>
      </c>
      <c r="Y19" s="5" t="n">
        <v>0.1</v>
      </c>
    </row>
    <row r="20" ht="18" customHeight="1" s="215">
      <c r="B20" s="14" t="inlineStr">
        <is>
          <t>EV Growth</t>
        </is>
      </c>
      <c r="C20" s="16" t="n"/>
      <c r="D20" s="16" t="n"/>
      <c r="E20" s="37">
        <f>IFERROR(Intake!$H$5*(1+$C$9)*(IFERROR(Intake!$D$20/Intake!$H$5,0)+0)*Engine!$B$30*(1+0)/(Intake!$D$20*Engine!$B$30),"")</f>
        <v/>
      </c>
      <c r="G20" s="14" t="inlineStr">
        <is>
          <t>EV Growth</t>
        </is>
      </c>
      <c r="H20" s="16" t="n"/>
      <c r="I20" s="16" t="n"/>
      <c r="J20" s="37">
        <f>IFERROR(Intake!$H$5*(1+0)*(IFERROR(Intake!$D$20/Intake!$H$5,0)+$H$9)*Engine!$B$30*(1+0)/(Intake!$D$20*Engine!$B$30),"")</f>
        <v/>
      </c>
      <c r="L20" s="14" t="inlineStr">
        <is>
          <t>EV Growth</t>
        </is>
      </c>
      <c r="M20" s="16" t="n"/>
      <c r="N20" s="16" t="n"/>
      <c r="O20" s="37">
        <f>IFERROR(Intake!$H$5*(1+0)*(IFERROR(Intake!$D$20/Intake!$H$5,0)+0)*IF($N$9="",$M$9,$N$9)/(Intake!$D$20*Engine!$B$30),"")</f>
        <v/>
      </c>
      <c r="Q20" s="14" t="inlineStr">
        <is>
          <t>EV Growth</t>
        </is>
      </c>
      <c r="R20" s="16" t="n"/>
      <c r="S20" s="16" t="n"/>
      <c r="T20" s="37">
        <f>IFERROR(Intake!$H$5*(1+$C$9)*(IFERROR(Intake!$D$20/Intake!$H$5,0)+$H$9)*IF($N$9="",$M$9,$N$9)/(Intake!$D$20*Engine!$B$30),"")</f>
        <v/>
      </c>
      <c r="W20" s="5" t="n">
        <v>0.6</v>
      </c>
      <c r="X20" s="8" t="n">
        <v>5</v>
      </c>
      <c r="Y20" s="5" t="n">
        <v>0.15</v>
      </c>
    </row>
    <row r="21" ht="22" customHeight="1" s="215">
      <c r="B21" s="24" t="inlineStr">
        <is>
          <t>EV Increase</t>
        </is>
      </c>
      <c r="C21" s="28" t="n"/>
      <c r="D21" s="13">
        <f>Intake!$H$5*(1+$C$9)*(IFERROR(Intake!$D$20/Intake!$H$5,0)+0)*Engine!$B$30*(1+0)-(Intake!$D$20*Engine!$B$30)</f>
        <v/>
      </c>
      <c r="E21" s="25" t="n"/>
      <c r="G21" s="24" t="inlineStr">
        <is>
          <t>EV Increase</t>
        </is>
      </c>
      <c r="H21" s="28" t="n"/>
      <c r="I21" s="13">
        <f>Intake!$H$5*(1+0)*(IFERROR(Intake!$D$20/Intake!$H$5,0)+$H$9)*Engine!$B$30*(1+0)-(Intake!$D$20*Engine!$B$30)</f>
        <v/>
      </c>
      <c r="J21" s="25" t="n"/>
      <c r="L21" s="24" t="inlineStr">
        <is>
          <t>EV Increase</t>
        </is>
      </c>
      <c r="M21" s="28" t="n"/>
      <c r="N21" s="13">
        <f>Intake!$H$5*(1+0)*(IFERROR(Intake!$D$20/Intake!$H$5,0)+0)*IF($N$9="",$M$9,$N$9)-(Intake!$D$20*Engine!$B$30)</f>
        <v/>
      </c>
      <c r="O21" s="25" t="n"/>
      <c r="Q21" s="24" t="inlineStr">
        <is>
          <t>EV Increase</t>
        </is>
      </c>
      <c r="R21" s="28" t="n"/>
      <c r="S21" s="13">
        <f>Intake!$H$5*(1+$C$9)*(IFERROR(Intake!$D$20/Intake!$H$5,0)+$H$9)*IF($N$9="",$M$9,$N$9)-(Intake!$D$20*Engine!$B$30)</f>
        <v/>
      </c>
      <c r="T21" s="25" t="n"/>
      <c r="W21" s="5" t="n">
        <v>0.65</v>
      </c>
      <c r="X21" s="8" t="n">
        <v>5.25</v>
      </c>
      <c r="Y21" s="5" t="n">
        <v>0.2</v>
      </c>
    </row>
    <row r="22">
      <c r="W22" s="5" t="n">
        <v>0.7</v>
      </c>
      <c r="X22" s="8" t="n">
        <v>5.5</v>
      </c>
      <c r="Y22" s="5" t="n">
        <v>0.25</v>
      </c>
    </row>
    <row r="23" ht="22" customHeight="1" s="215">
      <c r="B23" s="259" t="inlineStr">
        <is>
          <t>Against the Desired Value</t>
        </is>
      </c>
      <c r="C23" s="211" t="n"/>
      <c r="D23" s="211" t="n"/>
      <c r="E23" s="211" t="n"/>
      <c r="F23" s="211" t="n"/>
      <c r="G23" s="211" t="n"/>
      <c r="H23" s="211" t="n"/>
      <c r="I23" s="211" t="n"/>
      <c r="J23" s="211" t="n"/>
      <c r="K23" s="211" t="n"/>
      <c r="L23" s="211" t="n"/>
      <c r="M23" s="211" t="n"/>
      <c r="N23" s="211" t="n"/>
      <c r="O23" s="211" t="n"/>
      <c r="P23" s="211" t="n"/>
      <c r="Q23" s="211" t="n"/>
      <c r="R23" s="211" t="n"/>
      <c r="S23" s="211" t="n"/>
      <c r="T23" s="209" t="n"/>
      <c r="W23" s="5" t="n">
        <v>0.75</v>
      </c>
      <c r="X23" s="8" t="n">
        <v>5.75</v>
      </c>
      <c r="Y23" s="5" t="n">
        <v>0.3</v>
      </c>
    </row>
    <row r="24" ht="24" customHeight="1" s="215">
      <c r="B24" s="26" t="inlineStr">
        <is>
          <t>Current Value</t>
        </is>
      </c>
      <c r="C24" s="294">
        <f>Intake!$D$20*Engine!$B$30</f>
        <v/>
      </c>
      <c r="D24" s="209" t="n"/>
      <c r="E24" s="27" t="n"/>
      <c r="G24" s="26" t="inlineStr">
        <is>
          <t>Potential Value</t>
        </is>
      </c>
      <c r="H24" s="294">
        <f>Intake!$H$5*(1+$C$9)*(IFERROR(Intake!$D$20/Intake!$H$5,0)+$H$9)*IF($N$9="",$M$9,$N$9)</f>
        <v/>
      </c>
      <c r="I24" s="209" t="n"/>
      <c r="J24" s="27" t="n"/>
      <c r="L24" s="26" t="inlineStr">
        <is>
          <t>Desired Value</t>
        </is>
      </c>
      <c r="M24" s="294">
        <f>Intake!$H$17</f>
        <v/>
      </c>
      <c r="N24" s="209" t="n"/>
      <c r="O24" s="27" t="n"/>
      <c r="Q24" s="24" t="inlineStr">
        <is>
          <t>Still short</t>
        </is>
      </c>
      <c r="R24" s="295">
        <f>IF(N(Intake!$H$17)=0,"Enter a desired sale price on Intake",IF($H$24&gt;=$M$24,"Ahead by "&amp;TEXT($H$24-$M$24,"#,##0"),"Short by "&amp;TEXT($M$24-$H$24,"#,##0")))</f>
        <v/>
      </c>
      <c r="S24" s="211" t="n"/>
      <c r="T24" s="209" t="n"/>
      <c r="W24" s="5" t="n">
        <v>0.8</v>
      </c>
      <c r="X24" s="8" t="n">
        <v>6</v>
      </c>
      <c r="Y24" s="5" t="n">
        <v>0.35</v>
      </c>
    </row>
    <row r="25" ht="24" customHeight="1" s="215">
      <c r="B25" s="95" t="inlineStr">
        <is>
          <t>If you sell it as it stands</t>
        </is>
      </c>
      <c r="C25" s="92">
        <f>$C$24*Engine!$B$32</f>
        <v/>
      </c>
      <c r="G25" s="95" t="inlineStr">
        <is>
          <t>If you sell it after the work</t>
        </is>
      </c>
      <c r="H25" s="92">
        <f>$H$24*Engine!$C$32</f>
        <v/>
      </c>
      <c r="L25" s="95" t="inlineStr">
        <is>
          <t>What the work is worth</t>
        </is>
      </c>
      <c r="M25" s="92">
        <f>$H$24*Engine!$C$32-$C$24*Engine!$B$32</f>
        <v/>
      </c>
      <c r="Q25" s="96">
        <f>"Value multiplied by the chance of actually selling: "&amp;TEXT(Engine!$B$32,"0%")&amp;" today, "&amp;TEXT(Engine!$C$32,"0%")&amp;" prepared."</f>
        <v/>
      </c>
      <c r="W25" s="5" t="n">
        <v>0.85</v>
      </c>
      <c r="X25" s="8" t="n">
        <v>6.25</v>
      </c>
      <c r="Y25" s="5" t="n">
        <v>0.4</v>
      </c>
    </row>
    <row r="26" ht="24" customHeight="1" s="215">
      <c r="B26" s="293" t="inlineStr">
        <is>
          <t>Size</t>
        </is>
      </c>
      <c r="C26" s="211" t="n"/>
      <c r="D26" s="211" t="n"/>
      <c r="E26" s="209" t="n"/>
      <c r="G26" s="293" t="inlineStr">
        <is>
          <t>Efficiency</t>
        </is>
      </c>
      <c r="H26" s="211" t="n"/>
      <c r="I26" s="211" t="n"/>
      <c r="J26" s="209" t="n"/>
      <c r="L26" s="293" t="inlineStr">
        <is>
          <t>Multiple</t>
        </is>
      </c>
      <c r="M26" s="211" t="n"/>
      <c r="N26" s="211" t="n"/>
      <c r="O26" s="209" t="n"/>
      <c r="Q26" s="293" t="inlineStr">
        <is>
          <t>Forecasted P&amp;L</t>
        </is>
      </c>
      <c r="R26" s="211" t="n"/>
      <c r="S26" s="211" t="n"/>
      <c r="T26" s="209" t="n"/>
      <c r="W26" s="5" t="n">
        <v>0.9</v>
      </c>
      <c r="X26" s="8" t="n">
        <v>6.5</v>
      </c>
      <c r="Y26" s="5" t="n">
        <v>0.45</v>
      </c>
    </row>
    <row r="27" ht="80" customHeight="1" s="215">
      <c r="B27" s="249" t="inlineStr">
        <is>
          <t xml:space="preserve">Revenue grows grows EBITDA in absilute numbers, under the assumption that the margin stays the same as the revenue increases. at today's margin. </t>
        </is>
      </c>
      <c r="C27" s="211" t="n"/>
      <c r="D27" s="211" t="n"/>
      <c r="E27" s="209" t="n"/>
      <c r="G27" s="249" t="inlineStr">
        <is>
          <t xml:space="preserve">Those percentage points are added to the margin, at today's revenue. </t>
        </is>
      </c>
      <c r="H27" s="211" t="n"/>
      <c r="I27" s="211" t="n"/>
      <c r="J27" s="209" t="n"/>
      <c r="L27" s="249" t="inlineStr">
        <is>
          <t>Worked out from the improved answers - the grey cell is what they earn and is not editable. Type a multiple into the orange Override beside it to use your own instead.</t>
        </is>
      </c>
      <c r="M27" s="211" t="n"/>
      <c r="N27" s="211" t="n"/>
      <c r="O27" s="209" t="n"/>
      <c r="Q27" s="249" t="inlineStr">
        <is>
          <t>All three together. It equals Future Potential Value. The three separate increases do not add up to the total, because growing earnings and lifting the multiple multiply rather than add.</t>
        </is>
      </c>
      <c r="R27" s="211" t="n"/>
      <c r="S27" s="211" t="n"/>
      <c r="T27" s="209" t="n"/>
      <c r="W27" s="5" t="n">
        <v>0.95</v>
      </c>
      <c r="X27" s="8" t="n">
        <v>6.75</v>
      </c>
      <c r="Y27" s="5" t="n">
        <v>0.5</v>
      </c>
    </row>
    <row r="28">
      <c r="W28" s="5" t="n">
        <v>1</v>
      </c>
      <c r="X28" s="8" t="n">
        <v>7</v>
      </c>
      <c r="Y28" s="5" t="n">
        <v>0.55</v>
      </c>
    </row>
    <row r="29">
      <c r="W29" s="5" t="n">
        <v>1.05</v>
      </c>
      <c r="X29" s="8" t="n">
        <v>7.25</v>
      </c>
      <c r="Y29" s="5" t="n">
        <v>0.6</v>
      </c>
    </row>
    <row r="30">
      <c r="W30" s="5" t="n">
        <v>1.1</v>
      </c>
      <c r="X30" s="8" t="n">
        <v>7.5</v>
      </c>
      <c r="Y30" s="5" t="n">
        <v>0.65</v>
      </c>
    </row>
    <row r="31">
      <c r="H31" s="102" t="n"/>
      <c r="W31" s="5" t="n">
        <v>1.15</v>
      </c>
      <c r="X31" s="8" t="n">
        <v>7.75</v>
      </c>
      <c r="Y31" s="5" t="n">
        <v>0.7</v>
      </c>
    </row>
    <row r="32">
      <c r="W32" s="5" t="n">
        <v>1.2</v>
      </c>
      <c r="X32" s="8" t="n">
        <v>8</v>
      </c>
      <c r="Y32" s="5" t="n">
        <v>0.75</v>
      </c>
    </row>
    <row r="33">
      <c r="W33" s="5" t="n">
        <v>1.25</v>
      </c>
      <c r="X33" s="8" t="n">
        <v>8.25</v>
      </c>
      <c r="Y33" s="5" t="n">
        <v>0.8</v>
      </c>
    </row>
    <row r="34">
      <c r="W34" s="5" t="n">
        <v>1.3</v>
      </c>
      <c r="X34" s="8" t="n">
        <v>8.5</v>
      </c>
      <c r="Y34" s="5" t="n">
        <v>0.85</v>
      </c>
    </row>
    <row r="35">
      <c r="W35" s="5" t="n">
        <v>1.35</v>
      </c>
      <c r="X35" s="8" t="n">
        <v>8.75</v>
      </c>
      <c r="Y35" s="5" t="n">
        <v>0.9</v>
      </c>
    </row>
    <row r="36">
      <c r="W36" s="5" t="n">
        <v>1.4</v>
      </c>
      <c r="X36" s="8" t="n">
        <v>9</v>
      </c>
      <c r="Y36" s="5" t="n">
        <v>0.95</v>
      </c>
    </row>
    <row r="37">
      <c r="W37" s="5" t="n">
        <v>1.45</v>
      </c>
      <c r="X37" s="8" t="n">
        <v>9.25</v>
      </c>
      <c r="Y37" s="5" t="n">
        <v>1</v>
      </c>
    </row>
    <row r="38">
      <c r="W38" s="5" t="n">
        <v>1.5</v>
      </c>
      <c r="X38" s="8" t="n">
        <v>9.5</v>
      </c>
      <c r="Y38" s="5" t="n">
        <v>1.05</v>
      </c>
    </row>
    <row r="39">
      <c r="W39" s="5" t="n">
        <v>1.55</v>
      </c>
      <c r="X39" s="8" t="n">
        <v>9.75</v>
      </c>
      <c r="Y39" s="5" t="n">
        <v>1.1</v>
      </c>
    </row>
    <row r="40">
      <c r="W40" s="5" t="n">
        <v>1.6</v>
      </c>
      <c r="X40" s="8" t="n">
        <v>10</v>
      </c>
      <c r="Y40" s="5" t="n">
        <v>1.15</v>
      </c>
    </row>
    <row r="41">
      <c r="W41" s="5" t="n">
        <v>1.65</v>
      </c>
      <c r="X41" s="8" t="n">
        <v>10.25</v>
      </c>
      <c r="Y41" s="5" t="n">
        <v>1.2</v>
      </c>
    </row>
    <row r="42">
      <c r="W42" s="5" t="n">
        <v>1.7</v>
      </c>
      <c r="X42" s="8" t="n">
        <v>10.5</v>
      </c>
      <c r="Y42" s="5" t="n">
        <v>1.25</v>
      </c>
    </row>
    <row r="43">
      <c r="W43" s="5" t="n">
        <v>1.75</v>
      </c>
      <c r="X43" s="8" t="n">
        <v>10.75</v>
      </c>
      <c r="Y43" s="5" t="n">
        <v>1.3</v>
      </c>
    </row>
    <row r="44">
      <c r="W44" s="5" t="n">
        <v>1.8</v>
      </c>
      <c r="X44" s="8" t="n">
        <v>11</v>
      </c>
      <c r="Y44" s="5" t="n">
        <v>1.35</v>
      </c>
    </row>
    <row r="45">
      <c r="W45" s="5" t="n">
        <v>1.85</v>
      </c>
      <c r="X45" s="8" t="n">
        <v>11.25</v>
      </c>
      <c r="Y45" s="5" t="n">
        <v>1.4</v>
      </c>
    </row>
    <row r="46">
      <c r="W46" s="5" t="n">
        <v>1.9</v>
      </c>
      <c r="X46" s="8" t="n">
        <v>11.5</v>
      </c>
      <c r="Y46" s="5" t="n">
        <v>1.45</v>
      </c>
    </row>
    <row r="47">
      <c r="W47" s="5" t="n">
        <v>1.95</v>
      </c>
      <c r="X47" s="8" t="n">
        <v>11.75</v>
      </c>
      <c r="Y47" s="5" t="n">
        <v>1.5</v>
      </c>
    </row>
    <row r="48">
      <c r="W48" s="5" t="n">
        <v>2</v>
      </c>
      <c r="X48" s="8" t="n">
        <v>12</v>
      </c>
      <c r="Y48" s="5" t="n">
        <v>1.55</v>
      </c>
    </row>
    <row r="49">
      <c r="W49" s="5" t="n">
        <v>2.05</v>
      </c>
      <c r="X49" s="8" t="n">
        <v>12.25</v>
      </c>
      <c r="Y49" s="5" t="n">
        <v>1.6</v>
      </c>
    </row>
    <row r="50">
      <c r="W50" s="5" t="n">
        <v>2.1</v>
      </c>
      <c r="X50" s="8" t="n">
        <v>12.5</v>
      </c>
      <c r="Y50" s="5" t="n">
        <v>1.65</v>
      </c>
    </row>
    <row r="51">
      <c r="W51" s="5" t="n">
        <v>2.15</v>
      </c>
      <c r="X51" s="8" t="n">
        <v>12.75</v>
      </c>
      <c r="Y51" s="5" t="n">
        <v>1.7</v>
      </c>
    </row>
    <row r="52">
      <c r="W52" s="5" t="n">
        <v>2.2</v>
      </c>
      <c r="X52" s="8" t="n">
        <v>13</v>
      </c>
      <c r="Y52" s="5" t="n">
        <v>1.75</v>
      </c>
    </row>
    <row r="53">
      <c r="W53" s="5" t="n">
        <v>2.25</v>
      </c>
      <c r="X53" s="8" t="n">
        <v>13.25</v>
      </c>
      <c r="Y53" s="5" t="n">
        <v>1.8</v>
      </c>
    </row>
    <row r="54">
      <c r="W54" s="5" t="n">
        <v>2.3</v>
      </c>
      <c r="X54" s="8" t="n">
        <v>13.5</v>
      </c>
      <c r="Y54" s="5" t="n">
        <v>1.85</v>
      </c>
    </row>
    <row r="55">
      <c r="W55" s="5" t="n">
        <v>2.35</v>
      </c>
      <c r="X55" s="8" t="n">
        <v>13.75</v>
      </c>
      <c r="Y55" s="5" t="n">
        <v>1.9</v>
      </c>
    </row>
    <row r="56">
      <c r="W56" s="5" t="n">
        <v>2.4</v>
      </c>
      <c r="X56" s="8" t="n">
        <v>14</v>
      </c>
      <c r="Y56" s="5" t="n">
        <v>1.95</v>
      </c>
    </row>
    <row r="57">
      <c r="W57" s="5" t="n">
        <v>2.45</v>
      </c>
      <c r="X57" s="8" t="n">
        <v>14.25</v>
      </c>
      <c r="Y57" s="5" t="n">
        <v>2</v>
      </c>
    </row>
    <row r="58">
      <c r="W58" s="5" t="n">
        <v>2.5</v>
      </c>
      <c r="X58" s="8" t="n">
        <v>14.5</v>
      </c>
      <c r="Y58" s="5" t="n">
        <v>2.05</v>
      </c>
    </row>
    <row r="59">
      <c r="W59" s="5" t="n">
        <v>2.55</v>
      </c>
      <c r="X59" s="8" t="n">
        <v>14.75</v>
      </c>
      <c r="Y59" s="5" t="n">
        <v>2.1</v>
      </c>
    </row>
    <row r="60" ht="22" customHeight="1" s="215">
      <c r="B60" s="252" t="inlineStr">
        <is>
          <t>What to fix first</t>
        </is>
      </c>
      <c r="C60" s="211" t="n"/>
      <c r="D60" s="211" t="n"/>
      <c r="E60" s="211" t="n"/>
      <c r="F60" s="211" t="n"/>
      <c r="G60" s="211" t="n"/>
      <c r="H60" s="211" t="n"/>
      <c r="I60" s="211" t="n"/>
      <c r="J60" s="211" t="n"/>
      <c r="K60" s="211" t="n"/>
      <c r="L60" s="211" t="n"/>
      <c r="M60" s="211" t="n"/>
      <c r="N60" s="211" t="n"/>
      <c r="O60" s="211" t="n"/>
      <c r="P60" s="211" t="n"/>
      <c r="Q60" s="211" t="n"/>
      <c r="R60" s="211" t="n"/>
      <c r="S60" s="211" t="n"/>
      <c r="T60" s="209" t="n"/>
      <c r="W60" s="5" t="n">
        <v>2.6</v>
      </c>
      <c r="X60" s="8" t="n">
        <v>15</v>
      </c>
      <c r="Y60" s="5" t="n">
        <v>2.15</v>
      </c>
    </row>
    <row r="61" ht="30" customHeight="1" s="215">
      <c r="B61" s="97" t="inlineStr">
        <is>
          <t>Rank</t>
        </is>
      </c>
      <c r="C61" s="97" t="inlineStr">
        <is>
          <t>Driver</t>
        </is>
      </c>
      <c r="D61" s="97" t="inlineStr">
        <is>
          <t>Score today</t>
        </is>
      </c>
      <c r="E61" s="97" t="inlineStr">
        <is>
          <t>Share of the value</t>
        </is>
      </c>
      <c r="F61" s="97" t="inlineStr">
        <is>
          <t>Value left on the table</t>
        </is>
      </c>
      <c r="W61" s="5" t="n">
        <v>2.65</v>
      </c>
      <c r="X61" s="8" t="n">
        <v>15.25</v>
      </c>
      <c r="Y61" s="5" t="n">
        <v>2.2</v>
      </c>
    </row>
    <row r="62" ht="22" customHeight="1" s="215">
      <c r="B62" s="98">
        <f>IFERROR(RANK($F62,$F$62:$F$68,0),"")</f>
        <v/>
      </c>
      <c r="C62" s="99">
        <f>Scorecard!$A$3</f>
        <v/>
      </c>
      <c r="D62" s="100">
        <f>IFERROR(Scorecard!$D$3,"")</f>
        <v/>
      </c>
      <c r="E62" s="101">
        <f>IFERROR(SUMIF(Engine!$V$107:$V$133,Scorecard!$A$3,Engine!$L$107:$L$133)/SUM(Engine!$L$107:$L$133),"")</f>
        <v/>
      </c>
      <c r="F62" s="100">
        <f>IFERROR((5-$D62)*$E62,"")</f>
        <v/>
      </c>
      <c r="H62" s="292">
        <f>"The driver ranked 1 is where the most value is sitting unclaimed - its share of the Value score multiplied by how far it is from 5. Fixing a deal-killer comes first regardless, because every tripped gate takes its own share off the multiple."</f>
        <v/>
      </c>
      <c r="W62" s="5" t="n">
        <v>2.7</v>
      </c>
      <c r="X62" s="8" t="n">
        <v>15.5</v>
      </c>
      <c r="Y62" s="5" t="n">
        <v>2.25</v>
      </c>
    </row>
    <row r="63" ht="22" customHeight="1" s="215">
      <c r="B63" s="98">
        <f>IFERROR(RANK($F63,$F$62:$F$68,0),"")</f>
        <v/>
      </c>
      <c r="C63" s="99">
        <f>Scorecard!$A$8</f>
        <v/>
      </c>
      <c r="D63" s="100">
        <f>IFERROR(Scorecard!$D$8,"")</f>
        <v/>
      </c>
      <c r="E63" s="101">
        <f>IFERROR(SUMIF(Engine!$V$107:$V$133,Scorecard!$A$8,Engine!$L$107:$L$133)/SUM(Engine!$L$107:$L$133),"")</f>
        <v/>
      </c>
      <c r="F63" s="100">
        <f>IFERROR((5-$D63)*$E63,"")</f>
        <v/>
      </c>
      <c r="W63" s="5" t="n">
        <v>2.75</v>
      </c>
      <c r="X63" s="8" t="n">
        <v>15.75</v>
      </c>
      <c r="Y63" s="5" t="n">
        <v>2.3</v>
      </c>
    </row>
    <row r="64" ht="22" customHeight="1" s="215">
      <c r="B64" s="98">
        <f>IFERROR(RANK($F64,$F$62:$F$68,0),"")</f>
        <v/>
      </c>
      <c r="C64" s="99">
        <f>Scorecard!$A$15</f>
        <v/>
      </c>
      <c r="D64" s="100">
        <f>IFERROR(Scorecard!$D$15,"")</f>
        <v/>
      </c>
      <c r="E64" s="101">
        <f>IFERROR(SUMIF(Engine!$V$107:$V$133,Scorecard!$A$15,Engine!$L$107:$L$133)/SUM(Engine!$L$107:$L$133),"")</f>
        <v/>
      </c>
      <c r="F64" s="100">
        <f>IFERROR((5-$D64)*$E64,"")</f>
        <v/>
      </c>
      <c r="W64" s="5" t="n">
        <v>2.8</v>
      </c>
      <c r="X64" s="8" t="n">
        <v>16</v>
      </c>
      <c r="Y64" s="5" t="n">
        <v>2.35</v>
      </c>
    </row>
    <row r="65" ht="22" customHeight="1" s="215">
      <c r="B65" s="98">
        <f>IFERROR(RANK($F65,$F$62:$F$68,0),"")</f>
        <v/>
      </c>
      <c r="C65" s="99">
        <f>Scorecard!$A$23</f>
        <v/>
      </c>
      <c r="D65" s="100">
        <f>IFERROR(Scorecard!$D$23,"")</f>
        <v/>
      </c>
      <c r="E65" s="101">
        <f>IFERROR(SUMIF(Engine!$V$107:$V$133,Scorecard!$A$23,Engine!$L$107:$L$133)/SUM(Engine!$L$107:$L$133),"")</f>
        <v/>
      </c>
      <c r="F65" s="100">
        <f>IFERROR((5-$D65)*$E65,"")</f>
        <v/>
      </c>
      <c r="W65" s="5" t="n">
        <v>2.85</v>
      </c>
      <c r="X65" s="8" t="n">
        <v>16.25</v>
      </c>
      <c r="Y65" s="5" t="n">
        <v>2.4</v>
      </c>
    </row>
    <row r="66" ht="22" customHeight="1" s="215">
      <c r="B66" s="98">
        <f>IFERROR(RANK($F66,$F$62:$F$68,0),"")</f>
        <v/>
      </c>
      <c r="C66" s="99">
        <f>Scorecard!$A$27</f>
        <v/>
      </c>
      <c r="D66" s="100">
        <f>IFERROR(Scorecard!$D$27,"")</f>
        <v/>
      </c>
      <c r="E66" s="101">
        <f>IFERROR(SUMIF(Engine!$V$107:$V$133,Scorecard!$A$27,Engine!$L$107:$L$133)/SUM(Engine!$L$107:$L$133),"")</f>
        <v/>
      </c>
      <c r="F66" s="100">
        <f>IFERROR((5-$D66)*$E66,"")</f>
        <v/>
      </c>
      <c r="W66" s="5" t="n">
        <v>2.9</v>
      </c>
      <c r="X66" s="8" t="n">
        <v>16.5</v>
      </c>
      <c r="Y66" s="5" t="n">
        <v>2.45</v>
      </c>
    </row>
    <row r="67" ht="22" customHeight="1" s="215">
      <c r="B67" s="98">
        <f>IFERROR(RANK($F67,$F$62:$F$68,0),"")</f>
        <v/>
      </c>
      <c r="C67" s="99">
        <f>Scorecard!$A$32</f>
        <v/>
      </c>
      <c r="D67" s="100">
        <f>IFERROR(Scorecard!$D$32,"")</f>
        <v/>
      </c>
      <c r="E67" s="101">
        <f>IFERROR(SUMIF(Engine!$V$107:$V$133,Scorecard!$A$32,Engine!$L$107:$L$133)/SUM(Engine!$L$107:$L$133),"")</f>
        <v/>
      </c>
      <c r="F67" s="100">
        <f>IFERROR((5-$D67)*$E67,"")</f>
        <v/>
      </c>
      <c r="W67" s="5" t="n">
        <v>2.95</v>
      </c>
      <c r="X67" s="8" t="n">
        <v>16.75</v>
      </c>
      <c r="Y67" s="5" t="n">
        <v>2.5</v>
      </c>
    </row>
    <row r="68" ht="22" customHeight="1" s="215">
      <c r="B68" s="98" t="n"/>
      <c r="C68" s="99" t="n"/>
      <c r="D68" s="100" t="n"/>
      <c r="E68" s="101" t="n"/>
      <c r="F68" s="100" t="n"/>
      <c r="W68" s="5" t="n">
        <v>3</v>
      </c>
      <c r="X68" s="8" t="n">
        <v>17</v>
      </c>
      <c r="Y68" s="5" t="n">
        <v>2.55</v>
      </c>
    </row>
    <row r="69">
      <c r="X69" s="8" t="n">
        <v>17.25</v>
      </c>
      <c r="Y69" s="5" t="n">
        <v>2.6</v>
      </c>
    </row>
    <row r="70">
      <c r="X70" s="8" t="n">
        <v>17.5</v>
      </c>
      <c r="Y70" s="5" t="n">
        <v>2.65</v>
      </c>
    </row>
    <row r="71">
      <c r="X71" s="8" t="n">
        <v>17.75</v>
      </c>
      <c r="Y71" s="5" t="n">
        <v>2.7</v>
      </c>
    </row>
    <row r="72">
      <c r="X72" s="8" t="n">
        <v>18</v>
      </c>
      <c r="Y72" s="5" t="n">
        <v>2.75</v>
      </c>
    </row>
    <row r="73">
      <c r="X73" s="8" t="n">
        <v>18.25</v>
      </c>
      <c r="Y73" s="5" t="n">
        <v>2.8</v>
      </c>
    </row>
    <row r="74">
      <c r="X74" s="8" t="n">
        <v>18.5</v>
      </c>
      <c r="Y74" s="5" t="n">
        <v>2.85</v>
      </c>
    </row>
    <row r="75">
      <c r="X75" s="8" t="n">
        <v>18.75</v>
      </c>
      <c r="Y75" s="5" t="n">
        <v>2.9</v>
      </c>
    </row>
    <row r="76">
      <c r="X76" s="8" t="n">
        <v>19</v>
      </c>
      <c r="Y76" s="5" t="n">
        <v>2.95</v>
      </c>
    </row>
    <row r="77">
      <c r="X77" s="8" t="n">
        <v>19.25</v>
      </c>
      <c r="Y77" s="5" t="n">
        <v>3</v>
      </c>
    </row>
    <row r="78">
      <c r="X78" s="8" t="n">
        <v>19.5</v>
      </c>
    </row>
    <row r="79">
      <c r="X79" s="8" t="n">
        <v>19.75</v>
      </c>
    </row>
    <row r="80">
      <c r="X80" s="8" t="n">
        <v>20</v>
      </c>
    </row>
    <row r="81">
      <c r="X81" s="8" t="n">
        <v>20.25</v>
      </c>
    </row>
    <row r="82">
      <c r="X82" s="8" t="n">
        <v>20.5</v>
      </c>
    </row>
    <row r="83">
      <c r="X83" s="8" t="n">
        <v>20.75</v>
      </c>
    </row>
    <row r="84">
      <c r="X84" s="8" t="n">
        <v>21</v>
      </c>
    </row>
    <row r="85">
      <c r="X85" s="8" t="n">
        <v>21.25</v>
      </c>
    </row>
    <row r="86">
      <c r="X86" s="8" t="n">
        <v>21.5</v>
      </c>
    </row>
    <row r="87">
      <c r="X87" s="8" t="n">
        <v>21.75</v>
      </c>
    </row>
    <row r="88">
      <c r="X88" s="8" t="n">
        <v>22</v>
      </c>
    </row>
    <row r="89">
      <c r="X89" s="8" t="n">
        <v>22.25</v>
      </c>
    </row>
    <row r="90">
      <c r="X90" s="8" t="n">
        <v>22.5</v>
      </c>
    </row>
    <row r="91">
      <c r="X91" s="8" t="n">
        <v>22.75</v>
      </c>
    </row>
    <row r="92">
      <c r="X92" s="8" t="n">
        <v>23</v>
      </c>
    </row>
    <row r="93">
      <c r="X93" s="8" t="n">
        <v>23.25</v>
      </c>
    </row>
    <row r="94">
      <c r="X94" s="8" t="n">
        <v>23.5</v>
      </c>
    </row>
    <row r="95">
      <c r="X95" s="8" t="n">
        <v>23.75</v>
      </c>
    </row>
    <row r="96">
      <c r="X96" s="8" t="n">
        <v>24</v>
      </c>
    </row>
    <row r="97">
      <c r="X97" s="8" t="n">
        <v>24.25</v>
      </c>
    </row>
    <row r="98">
      <c r="X98" s="8" t="n">
        <v>24.5</v>
      </c>
    </row>
    <row r="99">
      <c r="X99" s="8" t="n">
        <v>24.75</v>
      </c>
    </row>
    <row r="100">
      <c r="X100" s="8" t="n">
        <v>25</v>
      </c>
    </row>
    <row r="101">
      <c r="X101" s="8" t="n">
        <v>25.25</v>
      </c>
    </row>
    <row r="102">
      <c r="X102" s="8" t="n">
        <v>25.5</v>
      </c>
    </row>
    <row r="103">
      <c r="X103" s="8" t="n">
        <v>25.75</v>
      </c>
    </row>
    <row r="104">
      <c r="X104" s="8" t="n">
        <v>26</v>
      </c>
    </row>
    <row r="105">
      <c r="X105" s="8" t="n">
        <v>26.25</v>
      </c>
    </row>
    <row r="106">
      <c r="X106" s="8" t="n">
        <v>26.5</v>
      </c>
    </row>
    <row r="107">
      <c r="X107" s="8" t="n">
        <v>26.75</v>
      </c>
    </row>
    <row r="108">
      <c r="X108" s="8" t="n">
        <v>27</v>
      </c>
    </row>
    <row r="109">
      <c r="X109" s="8" t="n">
        <v>27.25</v>
      </c>
    </row>
    <row r="110">
      <c r="X110" s="8" t="n">
        <v>27.5</v>
      </c>
    </row>
    <row r="111">
      <c r="X111" s="8" t="n">
        <v>27.75</v>
      </c>
    </row>
    <row r="112">
      <c r="X112" s="8" t="n">
        <v>28</v>
      </c>
    </row>
    <row r="113">
      <c r="X113" s="8" t="n">
        <v>28.25</v>
      </c>
    </row>
    <row r="114">
      <c r="X114" s="8" t="n">
        <v>28.5</v>
      </c>
    </row>
    <row r="115">
      <c r="X115" s="8" t="n">
        <v>28.75</v>
      </c>
    </row>
    <row r="116">
      <c r="X116" s="8" t="n">
        <v>29</v>
      </c>
    </row>
    <row r="117">
      <c r="X117" s="8" t="n">
        <v>29.25</v>
      </c>
    </row>
    <row r="118">
      <c r="X118" s="8" t="n">
        <v>29.5</v>
      </c>
    </row>
    <row r="119">
      <c r="X119" s="8" t="n">
        <v>29.75</v>
      </c>
    </row>
    <row r="120">
      <c r="X120" s="8" t="n">
        <v>30</v>
      </c>
    </row>
  </sheetData>
  <mergeCells count="45">
    <mergeCell ref="R24:T24"/>
    <mergeCell ref="Q27:T27"/>
    <mergeCell ref="C24:D24"/>
    <mergeCell ref="G26:J26"/>
    <mergeCell ref="B6:E6"/>
    <mergeCell ref="L6:O6"/>
    <mergeCell ref="Q11:T11"/>
    <mergeCell ref="G16:J16"/>
    <mergeCell ref="B5:E5"/>
    <mergeCell ref="L11:O11"/>
    <mergeCell ref="L27:O27"/>
    <mergeCell ref="B26:E26"/>
    <mergeCell ref="B4:E4"/>
    <mergeCell ref="Q16:T16"/>
    <mergeCell ref="B16:E16"/>
    <mergeCell ref="Q6:T6"/>
    <mergeCell ref="L16:O16"/>
    <mergeCell ref="G11:J11"/>
    <mergeCell ref="G27:J27"/>
    <mergeCell ref="B7:T7"/>
    <mergeCell ref="L19:O19"/>
    <mergeCell ref="B27:E27"/>
    <mergeCell ref="B11:E11"/>
    <mergeCell ref="Q5:T5"/>
    <mergeCell ref="G19:J19"/>
    <mergeCell ref="B2:T2"/>
    <mergeCell ref="Q10:T10"/>
    <mergeCell ref="G10:J10"/>
    <mergeCell ref="L5:O5"/>
    <mergeCell ref="Q19:T19"/>
    <mergeCell ref="G6:J6"/>
    <mergeCell ref="H62:T65"/>
    <mergeCell ref="B60:T60"/>
    <mergeCell ref="Q26:T26"/>
    <mergeCell ref="B8:K8"/>
    <mergeCell ref="M24:N24"/>
    <mergeCell ref="Q4:T4"/>
    <mergeCell ref="B23:T23"/>
    <mergeCell ref="H24:I24"/>
    <mergeCell ref="L26:O26"/>
    <mergeCell ref="L4:O4"/>
    <mergeCell ref="B19:E19"/>
    <mergeCell ref="L10:O10"/>
    <mergeCell ref="B10:E10"/>
    <mergeCell ref="G5:J5"/>
  </mergeCells>
  <pageMargins left="0.75" right="0.75" top="1" bottom="1" header="0.5" footer="0.5"/>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Linh Johansson</dc:creator>
  <dc:language xmlns:dc="http://purl.org/dc/elements/1.1/">en-US</dc:language>
  <dcterms:created xmlns:dcterms="http://purl.org/dc/terms/" xmlns:xsi="http://www.w3.org/2001/XMLSchema-instance" xsi:type="dcterms:W3CDTF">2025-03-26T13:15:13Z</dcterms:created>
  <dcterms:modified xmlns:dcterms="http://purl.org/dc/terms/" xmlns:xsi="http://www.w3.org/2001/XMLSchema-instance" xsi:type="dcterms:W3CDTF">2026-10-05T17:48:27Z</dcterms:modified>
  <cp:lastModifiedBy>Linh Adelaida Maria Johansson</cp:lastModifiedBy>
  <cp:revision>0</cp:revision>
</cp:coreProperties>
</file>